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00" windowHeight="17680" activeTab="8"/>
  </bookViews>
  <sheets>
    <sheet name="BS_Input" sheetId="7" r:id="rId1"/>
    <sheet name="BS_Analysis" sheetId="6" r:id="rId2"/>
    <sheet name="BS_分类" sheetId="8" r:id="rId3"/>
    <sheet name="IS_Input" sheetId="3" r:id="rId4"/>
    <sheet name="IS_Analysis" sheetId="4" r:id="rId5"/>
    <sheet name="IS_分类" sheetId="1" r:id="rId6"/>
    <sheet name="指标分析" sheetId="9" r:id="rId7"/>
    <sheet name="CF_Input" sheetId="10" r:id="rId8"/>
    <sheet name="所有者权益变动表重构" sheetId="11" r:id="rId9"/>
  </sheets>
  <externalReferences>
    <externalReference r:id="rId10"/>
    <externalReference r:id="rId11"/>
    <externalReference r:id="rId12"/>
    <externalReference r:id="rId1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<sst xmlns="http://schemas.openxmlformats.org/spreadsheetml/2006/main" count="1583" uniqueCount="1096">
  <si>
    <t/>
  </si>
  <si>
    <t>2024年年报</t>
  </si>
  <si>
    <t>2023年年报</t>
  </si>
  <si>
    <t>2022年年报</t>
  </si>
  <si>
    <t>2021年年报</t>
  </si>
  <si>
    <t>2020年年报</t>
  </si>
  <si>
    <t>2019年年报</t>
  </si>
  <si>
    <t>2018年年报</t>
  </si>
  <si>
    <t>2017年年报</t>
  </si>
  <si>
    <t>2016年年报</t>
  </si>
  <si>
    <t>上市前/上市后</t>
  </si>
  <si>
    <t>上市后</t>
  </si>
  <si>
    <t>报表类型</t>
  </si>
  <si>
    <t>合并报表</t>
  </si>
  <si>
    <t>公司类型</t>
  </si>
  <si>
    <t>通用</t>
  </si>
  <si>
    <t>流动资产：</t>
  </si>
  <si>
    <t>　货币资金(元)</t>
  </si>
  <si>
    <t>　结算备付金(元)</t>
  </si>
  <si>
    <t>　拆出资金(元)</t>
  </si>
  <si>
    <t>　交易性金融资产(元)</t>
  </si>
  <si>
    <t>　融出资金(元)</t>
  </si>
  <si>
    <t>　衍生金融资产(元)</t>
  </si>
  <si>
    <t>　应收票据及应收账款(元)</t>
  </si>
  <si>
    <t>　其中：应收票据(元)</t>
  </si>
  <si>
    <t>　　　　应收账款(元)</t>
  </si>
  <si>
    <t>　应收款项融资(元)</t>
  </si>
  <si>
    <t>　预付款项(元)</t>
  </si>
  <si>
    <t>　应收保费(元)</t>
  </si>
  <si>
    <t>　应收分保账款(元)</t>
  </si>
  <si>
    <t>　应收分保合同准备金(元)</t>
  </si>
  <si>
    <t>　其他应收款合计(元)</t>
  </si>
  <si>
    <t>　其中：应收利息(元)</t>
  </si>
  <si>
    <t>　　　　应收股利(元)</t>
  </si>
  <si>
    <t>　　　　其他应收款(元)</t>
  </si>
  <si>
    <t>　应收出口退税(元)</t>
  </si>
  <si>
    <t>　应收补贴款(元)</t>
  </si>
  <si>
    <t>　内部应收款(元)</t>
  </si>
  <si>
    <t>　买入返售金融资产(元)</t>
  </si>
  <si>
    <t>　以摊余成本计量的金融资产(元)</t>
  </si>
  <si>
    <t>　以公允价值计量且其变动计入其他综合收益的金融资产(元)</t>
  </si>
  <si>
    <r>
      <rPr>
        <sz val="10"/>
        <color theme="1"/>
        <rFont val="宋体"/>
        <charset val="134"/>
      </rPr>
      <t>　存货</t>
    </r>
    <r>
      <rPr>
        <sz val="10"/>
        <color theme="1"/>
        <rFont val="Arial"/>
        <charset val="134"/>
      </rPr>
      <t>(</t>
    </r>
    <r>
      <rPr>
        <sz val="10"/>
        <color theme="1"/>
        <rFont val="宋体"/>
        <charset val="134"/>
      </rPr>
      <t>元</t>
    </r>
    <r>
      <rPr>
        <sz val="10"/>
        <color theme="1"/>
        <rFont val="Arial"/>
        <charset val="134"/>
      </rPr>
      <t>)</t>
    </r>
  </si>
  <si>
    <t>　其中：消耗性生物资产(元)</t>
  </si>
  <si>
    <t>　合同资产(元)</t>
  </si>
  <si>
    <t>　持有待售资产(元)</t>
  </si>
  <si>
    <t>　一年内到期的非流动资产(元)</t>
  </si>
  <si>
    <t>　代理业务资产(元)</t>
  </si>
  <si>
    <t>　其他流动资产(元)</t>
  </si>
  <si>
    <t>　流动资产其他项目(元)</t>
  </si>
  <si>
    <t>　流动资产平衡项目(元)</t>
  </si>
  <si>
    <t>　流动资产合计(元)</t>
  </si>
  <si>
    <t>非流动资产：</t>
  </si>
  <si>
    <t>　发放委托贷款及垫款(元)</t>
  </si>
  <si>
    <t>　债权投资(元)</t>
  </si>
  <si>
    <t>　以摊余成本计量的金融资产（非流动）(元)</t>
  </si>
  <si>
    <t>　其他债权投资(元)</t>
  </si>
  <si>
    <t>　以公允价值计量且其变动计入其他综合收益的金融资产（非流动）(元)</t>
  </si>
  <si>
    <t>　可供出售金融资产(元)</t>
  </si>
  <si>
    <t>　持有至到期投资(元)</t>
  </si>
  <si>
    <t>　长期应收款(元)</t>
  </si>
  <si>
    <t>　长期股权投资(元)</t>
  </si>
  <si>
    <t>　其他权益工具投资(元)</t>
  </si>
  <si>
    <t>　其他非流动金融资产(元)</t>
  </si>
  <si>
    <t>　投资性房地产(元)</t>
  </si>
  <si>
    <t>　固定资产(元)</t>
  </si>
  <si>
    <t>　在建工程(元)</t>
  </si>
  <si>
    <t>　工程物资(元)</t>
  </si>
  <si>
    <t>　固定资产清理(元)</t>
  </si>
  <si>
    <t>　生产性生物资产(元)</t>
  </si>
  <si>
    <t>　油气资产(元)</t>
  </si>
  <si>
    <t>　使用权资产(元)</t>
  </si>
  <si>
    <t>　无形资产(元)</t>
  </si>
  <si>
    <t>　开发支出(元)</t>
  </si>
  <si>
    <t>　商誉(元)</t>
  </si>
  <si>
    <t>　长期待摊费用(元)</t>
  </si>
  <si>
    <t>　递延所得税资产(元)</t>
  </si>
  <si>
    <t>　其他非流动资产(元)</t>
  </si>
  <si>
    <t>　非流动资产其他项目(元)</t>
  </si>
  <si>
    <t>　非流动资产平衡项目(元)</t>
  </si>
  <si>
    <t>　非流动资产合计(元)</t>
  </si>
  <si>
    <t>　资产其他项目(元)</t>
  </si>
  <si>
    <t>　资产平衡项目(元)</t>
  </si>
  <si>
    <t>　资产总计(元)</t>
  </si>
  <si>
    <t>流动负债：</t>
  </si>
  <si>
    <t>　短期借款(元)</t>
  </si>
  <si>
    <t>　向中央银行借款(元)</t>
  </si>
  <si>
    <t>　吸收存款及同业存放(元)</t>
  </si>
  <si>
    <t>　拆入资金(元)</t>
  </si>
  <si>
    <t>　交易性金融负债(元)</t>
  </si>
  <si>
    <t>　衍生金融负债(元)</t>
  </si>
  <si>
    <t>　应付票据及应付账款(元)</t>
  </si>
  <si>
    <t>　其中：应付票据(元)</t>
  </si>
  <si>
    <t>　　　　应付账款(元)</t>
  </si>
  <si>
    <t>　预收款项(元)</t>
  </si>
  <si>
    <t>　合同负债(元)</t>
  </si>
  <si>
    <t>　卖出回购金融资产款(元)</t>
  </si>
  <si>
    <t>　应付手续费及佣金(元)</t>
  </si>
  <si>
    <t>　应付职工薪酬(元)</t>
  </si>
  <si>
    <t>　应交税费(元)</t>
  </si>
  <si>
    <t>　其他应付款合计(元)</t>
  </si>
  <si>
    <t>　其中：应付利息(元)</t>
  </si>
  <si>
    <t>　　　　应付股利(元)</t>
  </si>
  <si>
    <t>　　　　其他应付款(元)</t>
  </si>
  <si>
    <t>　应付分保账款(元)</t>
  </si>
  <si>
    <t>　内部应付款(元)</t>
  </si>
  <si>
    <t>　预计流动负债(元)</t>
  </si>
  <si>
    <t>　保险合同准备金(元)</t>
  </si>
  <si>
    <t>　代理买卖证券款(元)</t>
  </si>
  <si>
    <t>　代理承销证券款(元)</t>
  </si>
  <si>
    <t>　一年内的递延收益(元)</t>
  </si>
  <si>
    <t>　以摊余成本计量的金融负债(元)</t>
  </si>
  <si>
    <t>　应付短期债券(元)</t>
  </si>
  <si>
    <t>　持有待售负债(元)</t>
  </si>
  <si>
    <t>　一年内到期的非流动负债(元)</t>
  </si>
  <si>
    <t>　代理业务负债(元)</t>
  </si>
  <si>
    <t>　其他流动负债(元)</t>
  </si>
  <si>
    <t>　流动负债其他项目(元)</t>
  </si>
  <si>
    <t>　流动负债平衡项目(元)</t>
  </si>
  <si>
    <t>　流动负债合计(元)</t>
  </si>
  <si>
    <t>非流动负债：</t>
  </si>
  <si>
    <t>　长期借款(元)</t>
  </si>
  <si>
    <t>　以摊余成本计量的金融负债(非流动)(元)</t>
  </si>
  <si>
    <t>　应付债券(元)</t>
  </si>
  <si>
    <t>　其中：优先股(元)</t>
  </si>
  <si>
    <t>　　　　永续债(元)</t>
  </si>
  <si>
    <t>　租赁负债(元)</t>
  </si>
  <si>
    <t>　长期应付款(合计)(元)</t>
  </si>
  <si>
    <t>　其中：长期应付款(元)</t>
  </si>
  <si>
    <t>　　　　专项应付款(元)</t>
  </si>
  <si>
    <t>　长期应付职工薪酬(元)</t>
  </si>
  <si>
    <t>　预计负债(元)</t>
  </si>
  <si>
    <t>　递延收益(元)</t>
  </si>
  <si>
    <t>　递延所得税负债(元)</t>
  </si>
  <si>
    <t>　其他非流动负债(元)</t>
  </si>
  <si>
    <t>　非流动负债其他项目(元)</t>
  </si>
  <si>
    <t>　非流动负债平衡项目(元)</t>
  </si>
  <si>
    <t>　非流动负债合计(元)</t>
  </si>
  <si>
    <t>　负债其他项目(元)</t>
  </si>
  <si>
    <t>　负债平衡项目(元)</t>
  </si>
  <si>
    <t>　负债合计(元)</t>
  </si>
  <si>
    <t>所有者权益(或股东权益)：</t>
  </si>
  <si>
    <t>　实收资本(或股本)(元)</t>
  </si>
  <si>
    <t>　其他权益工具(元)</t>
  </si>
  <si>
    <t>　　　　其他(元)</t>
  </si>
  <si>
    <t>　资本公积(元)</t>
  </si>
  <si>
    <t>　减：库存股(元)</t>
  </si>
  <si>
    <t>　其他综合收益(元)</t>
  </si>
  <si>
    <t>　专项储备(元)</t>
  </si>
  <si>
    <t>　盈余公积(元)</t>
  </si>
  <si>
    <t>　一般风险准备(元)</t>
  </si>
  <si>
    <t>　未确定的投资损失(元)</t>
  </si>
  <si>
    <t>　未分配利润(元)</t>
  </si>
  <si>
    <t>　拟分配现金股利(元)</t>
  </si>
  <si>
    <t>　外币报表折算差额(元)</t>
  </si>
  <si>
    <t>　归属于母公司股东权益其他项目(元)</t>
  </si>
  <si>
    <t>　归属于母公司股东权益平衡项目(元)</t>
  </si>
  <si>
    <t>　归属于母公司股东权益合计(元)</t>
  </si>
  <si>
    <t>　少数股东权益(元)</t>
  </si>
  <si>
    <t>　股东权益其他项目(元)</t>
  </si>
  <si>
    <t>　股东权益平衡项目(元)</t>
  </si>
  <si>
    <t>　股东权益合计(元)</t>
  </si>
  <si>
    <t>　负债和股东权益其他项目(元)</t>
  </si>
  <si>
    <t>　负债和股东权益平衡项目(元)</t>
  </si>
  <si>
    <t>负债和股东权益合计(元)</t>
  </si>
  <si>
    <t>转换汇率</t>
  </si>
  <si>
    <t>公告日期</t>
  </si>
  <si>
    <t>2025-04-23</t>
  </si>
  <si>
    <t>2024-04-25</t>
  </si>
  <si>
    <t>2023-04-27</t>
  </si>
  <si>
    <t>2022-04-08</t>
  </si>
  <si>
    <t>2021-04-13</t>
  </si>
  <si>
    <t>2020-04-30</t>
  </si>
  <si>
    <t>2019-03-25</t>
  </si>
  <si>
    <t>2018-03-09</t>
  </si>
  <si>
    <t>2017-03-31</t>
  </si>
  <si>
    <t>数据来源</t>
  </si>
  <si>
    <t>年度报告</t>
  </si>
  <si>
    <t>招股说明书</t>
  </si>
  <si>
    <t>审计意见(境内)</t>
  </si>
  <si>
    <t>标准无保留意见</t>
  </si>
  <si>
    <t>A 列 (项目)</t>
  </si>
  <si>
    <t>B 列 (数值/公式)</t>
  </si>
  <si>
    <t>C 列 (说明)</t>
  </si>
  <si>
    <t>基础数据</t>
  </si>
  <si>
    <t>营业收入 (TTM)</t>
  </si>
  <si>
    <t>用于估算经营所需现金</t>
  </si>
  <si>
    <t>关键假设</t>
  </si>
  <si>
    <t>经营现金占收入比例</t>
  </si>
  <si>
    <t>经验值，通常在 0.5% - 2% 之间</t>
  </si>
  <si>
    <t>中间计算</t>
  </si>
  <si>
    <t>估算经营现金</t>
  </si>
  <si>
    <r>
      <rPr>
        <sz val="10.5"/>
        <color rgb="FF1A1C1E"/>
        <rFont val="Arial"/>
        <charset val="134"/>
      </rPr>
      <t>这是 </t>
    </r>
    <r>
      <rPr>
        <b/>
        <sz val="10.5"/>
        <color rgb="FF1A1C1E"/>
        <rFont val="Arial"/>
        <charset val="134"/>
      </rPr>
      <t>OA (经营资产)</t>
    </r>
    <r>
      <rPr>
        <sz val="10.5"/>
        <color rgb="FF1A1C1E"/>
        <rFont val="Arial"/>
        <charset val="134"/>
      </rPr>
      <t> 的一部分</t>
    </r>
  </si>
  <si>
    <t>估算多余现金</t>
  </si>
  <si>
    <r>
      <rPr>
        <sz val="10.5"/>
        <color rgb="FF1A1C1E"/>
        <rFont val="Arial"/>
        <charset val="134"/>
      </rPr>
      <t>这是 </t>
    </r>
    <r>
      <rPr>
        <b/>
        <sz val="10.5"/>
        <color rgb="FF1A1C1E"/>
        <rFont val="Arial"/>
        <charset val="134"/>
      </rPr>
      <t>FA (金融资产)</t>
    </r>
    <r>
      <rPr>
        <sz val="10.5"/>
        <color rgb="FF1A1C1E"/>
        <rFont val="Arial"/>
        <charset val="134"/>
      </rPr>
      <t> 的一部分</t>
    </r>
  </si>
  <si>
    <t>类别</t>
  </si>
  <si>
    <t>重构后项目名称</t>
  </si>
  <si>
    <t>建议 Excel 公式 (对应原始报表科目)</t>
  </si>
  <si>
    <t>计算</t>
  </si>
  <si>
    <t>Penman 逻辑说明</t>
  </si>
  <si>
    <t>经营资产 (OA)</t>
  </si>
  <si>
    <t>1. 经营性现金</t>
  </si>
  <si>
    <t>“=Inputs!B7</t>
  </si>
  <si>
    <t>维持生意运转必须的“零钱”。</t>
  </si>
  <si>
    <t>2. 经营性应收款项</t>
  </si>
  <si>
    <r>
      <rPr>
        <sz val="10.5"/>
        <color rgb="FF32302C"/>
        <rFont val="Courier New"/>
        <charset val="134"/>
      </rPr>
      <t>“=</t>
    </r>
    <r>
      <rPr>
        <sz val="10.5"/>
        <color rgb="FF32302C"/>
        <rFont val="宋体"/>
        <charset val="134"/>
      </rPr>
      <t>应收票据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应收账款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应收款项融资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预付款项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合同资产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其他应收款</t>
    </r>
    <r>
      <rPr>
        <sz val="10.5"/>
        <color rgb="FF32302C"/>
        <rFont val="Courier New"/>
        <charset val="134"/>
      </rPr>
      <t>(</t>
    </r>
    <r>
      <rPr>
        <sz val="10.5"/>
        <color rgb="FF32302C"/>
        <rFont val="宋体"/>
        <charset val="134"/>
      </rPr>
      <t>扣除利息</t>
    </r>
    <r>
      <rPr>
        <sz val="10.5"/>
        <color rgb="FF32302C"/>
        <rFont val="Courier New"/>
        <charset val="134"/>
      </rPr>
      <t>/</t>
    </r>
    <r>
      <rPr>
        <sz val="10.5"/>
        <color rgb="FF32302C"/>
        <rFont val="宋体"/>
        <charset val="134"/>
      </rPr>
      <t>股利</t>
    </r>
    <r>
      <rPr>
        <sz val="10.5"/>
        <color rgb="FF32302C"/>
        <rFont val="Courier New"/>
        <charset val="134"/>
      </rPr>
      <t>)</t>
    </r>
  </si>
  <si>
    <r>
      <rPr>
        <sz val="10.5"/>
        <color rgb="FF1A1C1E"/>
        <rFont val="Arial"/>
        <charset val="134"/>
      </rPr>
      <t>所有业务相关的赊销和预付。</t>
    </r>
    <r>
      <rPr>
        <i/>
        <sz val="10.5"/>
        <color rgb="FF1A1C1E"/>
        <rFont val="Arial"/>
        <charset val="134"/>
      </rPr>
      <t>注：若其他应收款含大额拆解款需剔除。</t>
    </r>
  </si>
  <si>
    <t>3. 存货</t>
  </si>
  <si>
    <r>
      <rPr>
        <sz val="10.5"/>
        <color rgb="FF32302C"/>
        <rFont val="Courier New"/>
        <charset val="134"/>
      </rPr>
      <t>”=</t>
    </r>
    <r>
      <rPr>
        <sz val="10.5"/>
        <color rgb="FF32302C"/>
        <rFont val="宋体"/>
        <charset val="134"/>
      </rPr>
      <t>存货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消耗性生物资产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持有待售资产</t>
    </r>
  </si>
  <si>
    <t>待售的商品，核心经营资产。</t>
  </si>
  <si>
    <t>4. 长期经营性投资</t>
  </si>
  <si>
    <r>
      <rPr>
        <sz val="10.5"/>
        <color rgb="FF32302C"/>
        <rFont val="Courier New"/>
        <charset val="134"/>
      </rPr>
      <t>“=</t>
    </r>
    <r>
      <rPr>
        <sz val="10.5"/>
        <color rgb="FF32302C"/>
        <rFont val="宋体"/>
        <charset val="134"/>
      </rPr>
      <t>长期股权投资</t>
    </r>
  </si>
  <si>
    <r>
      <rPr>
        <i/>
        <sz val="10.5"/>
        <color rgb="FF1A1C1E"/>
        <rFont val="Arial"/>
        <charset val="134"/>
      </rPr>
      <t>假设</t>
    </r>
    <r>
      <rPr>
        <sz val="10.5"/>
        <color rgb="FF1A1C1E"/>
        <rFont val="Arial"/>
        <charset val="134"/>
      </rPr>
      <t>：这里的长投是对产业链上下游的战略投资。</t>
    </r>
  </si>
  <si>
    <t>5. 固定资产与生产设施</t>
  </si>
  <si>
    <r>
      <rPr>
        <sz val="10.5"/>
        <color rgb="FF32302C"/>
        <rFont val="Courier New"/>
        <charset val="134"/>
      </rPr>
      <t>”=</t>
    </r>
    <r>
      <rPr>
        <sz val="10.5"/>
        <color rgb="FF32302C"/>
        <rFont val="宋体"/>
        <charset val="134"/>
      </rPr>
      <t>固定资产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在建工程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工程物资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生产性生物资产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油气资产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固定资产清理</t>
    </r>
  </si>
  <si>
    <t>典型的重资产经营投入。</t>
  </si>
  <si>
    <t>6. 使用权资产</t>
  </si>
  <si>
    <r>
      <rPr>
        <sz val="10.5"/>
        <color rgb="FF32302C"/>
        <rFont val="Courier New"/>
        <charset val="134"/>
      </rPr>
      <t>“=</t>
    </r>
    <r>
      <rPr>
        <sz val="10.5"/>
        <color rgb="FF32302C"/>
        <rFont val="宋体"/>
        <charset val="134"/>
      </rPr>
      <t>使用权资产</t>
    </r>
  </si>
  <si>
    <t>新租赁准则下，租来的店面/厂房也是经营资产。</t>
  </si>
  <si>
    <t>7. 无形资产与商誉</t>
  </si>
  <si>
    <r>
      <rPr>
        <sz val="10.5"/>
        <color rgb="FF32302C"/>
        <rFont val="Courier New"/>
        <charset val="134"/>
      </rPr>
      <t>”=</t>
    </r>
    <r>
      <rPr>
        <sz val="10.5"/>
        <color rgb="FF32302C"/>
        <rFont val="宋体"/>
        <charset val="134"/>
      </rPr>
      <t>无形资产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开发支出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商誉</t>
    </r>
  </si>
  <si>
    <t>知识产权和并购溢价。</t>
  </si>
  <si>
    <t>8. 其他经营性资产</t>
  </si>
  <si>
    <r>
      <rPr>
        <sz val="10.5"/>
        <color rgb="FF32302C"/>
        <rFont val="Courier New"/>
        <charset val="134"/>
      </rPr>
      <t>“=</t>
    </r>
    <r>
      <rPr>
        <sz val="10.5"/>
        <color rgb="FF32302C"/>
        <rFont val="宋体"/>
        <charset val="134"/>
      </rPr>
      <t>长期待摊费用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递延所得税资产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其他流动资产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其他非流动资产</t>
    </r>
  </si>
  <si>
    <t>除非附注特别说明是理财，否则默认归为经营。</t>
  </si>
  <si>
    <t>经营资产合计 (OA)</t>
  </si>
  <si>
    <t>=SUM(上述 1-8 项)</t>
  </si>
  <si>
    <t>企业的“印钞机”总规模。</t>
  </si>
  <si>
    <t>经营负债 (OL)</t>
  </si>
  <si>
    <t>9. 经营性应付款项</t>
  </si>
  <si>
    <r>
      <rPr>
        <sz val="10.5"/>
        <color rgb="FF32302C"/>
        <rFont val="Courier New"/>
        <charset val="134"/>
      </rPr>
      <t>”=</t>
    </r>
    <r>
      <rPr>
        <sz val="10.5"/>
        <color rgb="FF32302C"/>
        <rFont val="宋体"/>
        <charset val="134"/>
      </rPr>
      <t>应付票据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应付账款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预收款项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合同负债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其他应付款</t>
    </r>
    <r>
      <rPr>
        <sz val="10.5"/>
        <color rgb="FF32302C"/>
        <rFont val="Courier New"/>
        <charset val="134"/>
      </rPr>
      <t>(</t>
    </r>
    <r>
      <rPr>
        <sz val="10.5"/>
        <color rgb="FF32302C"/>
        <rFont val="宋体"/>
        <charset val="134"/>
      </rPr>
      <t>扣除利息</t>
    </r>
    <r>
      <rPr>
        <sz val="10.5"/>
        <color rgb="FF32302C"/>
        <rFont val="Courier New"/>
        <charset val="134"/>
      </rPr>
      <t>/</t>
    </r>
    <r>
      <rPr>
        <sz val="10.5"/>
        <color rgb="FF32302C"/>
        <rFont val="宋体"/>
        <charset val="134"/>
      </rPr>
      <t>股利</t>
    </r>
    <r>
      <rPr>
        <sz val="10.5"/>
        <color rgb="FF32302C"/>
        <rFont val="Courier New"/>
        <charset val="134"/>
      </rPr>
      <t>)</t>
    </r>
  </si>
  <si>
    <t>占用供应商和客户的资金，无息负债。</t>
  </si>
  <si>
    <t>10. 职工与税务负债</t>
  </si>
  <si>
    <r>
      <rPr>
        <sz val="10.5"/>
        <color rgb="FF32302C"/>
        <rFont val="Courier New"/>
        <charset val="134"/>
      </rPr>
      <t>“=</t>
    </r>
    <r>
      <rPr>
        <sz val="10.5"/>
        <color rgb="FF32302C"/>
        <rFont val="宋体"/>
        <charset val="134"/>
      </rPr>
      <t>应付职工薪酬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长期应付职工薪酬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应交税费</t>
    </r>
  </si>
  <si>
    <t>欠员工和税务局的钱。</t>
  </si>
  <si>
    <t>11. 经营性预计负债</t>
  </si>
  <si>
    <r>
      <rPr>
        <sz val="10.5"/>
        <color rgb="FF32302C"/>
        <rFont val="Courier New"/>
        <charset val="134"/>
      </rPr>
      <t>”=</t>
    </r>
    <r>
      <rPr>
        <sz val="10.5"/>
        <color rgb="FF32302C"/>
        <rFont val="宋体"/>
        <charset val="134"/>
      </rPr>
      <t>预计负债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预计流动负债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递延收益</t>
    </r>
    <r>
      <rPr>
        <sz val="10.5"/>
        <color rgb="FF32302C"/>
        <rFont val="Courier New"/>
        <charset val="134"/>
      </rPr>
      <t>(</t>
    </r>
    <r>
      <rPr>
        <sz val="10.5"/>
        <color rgb="FF32302C"/>
        <rFont val="宋体"/>
        <charset val="134"/>
      </rPr>
      <t>含一年内</t>
    </r>
    <r>
      <rPr>
        <sz val="10.5"/>
        <color rgb="FF32302C"/>
        <rFont val="Courier New"/>
        <charset val="134"/>
      </rPr>
      <t>)</t>
    </r>
  </si>
  <si>
    <t>产品保修、政府补助递延等。</t>
  </si>
  <si>
    <t>12. 其他经营性负债</t>
  </si>
  <si>
    <r>
      <rPr>
        <sz val="10.5"/>
        <color rgb="FF32302C"/>
        <rFont val="Courier New"/>
        <charset val="134"/>
      </rPr>
      <t>“=</t>
    </r>
    <r>
      <rPr>
        <sz val="10.5"/>
        <color rgb="FF32302C"/>
        <rFont val="宋体"/>
        <charset val="134"/>
      </rPr>
      <t>递延所得税负债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其他流动负债</t>
    </r>
    <r>
      <rPr>
        <sz val="10.5"/>
        <color rgb="FF32302C"/>
        <rFont val="Courier New"/>
        <charset val="134"/>
      </rPr>
      <t>+</t>
    </r>
    <r>
      <rPr>
        <sz val="10.5"/>
        <color rgb="FF32302C"/>
        <rFont val="宋体"/>
        <charset val="134"/>
      </rPr>
      <t>其他非流动负债</t>
    </r>
  </si>
  <si>
    <t>伴随经营产生的非金融债务。</t>
  </si>
  <si>
    <t>经营负债合计 (OL)</t>
  </si>
  <si>
    <t>=SUM(上述 9-12 项)</t>
  </si>
  <si>
    <t>上下游“免费”借给你的钱。</t>
  </si>
  <si>
    <t>核心指标</t>
  </si>
  <si>
    <t>净经营性资产 (NOA)</t>
  </si>
  <si>
    <r>
      <rPr>
        <sz val="10.5"/>
        <color rgb="FF32302C"/>
        <rFont val="Courier New"/>
        <charset val="134"/>
      </rPr>
      <t>”=OA</t>
    </r>
    <r>
      <rPr>
        <sz val="10.5"/>
        <color rgb="FF32302C"/>
        <rFont val="宋体"/>
        <charset val="134"/>
      </rPr>
      <t>合计</t>
    </r>
    <r>
      <rPr>
        <sz val="10.5"/>
        <color rgb="FF32302C"/>
        <rFont val="Courier New"/>
        <charset val="134"/>
      </rPr>
      <t>-OL</t>
    </r>
    <r>
      <rPr>
        <sz val="10.5"/>
        <color rgb="FF32302C"/>
        <rFont val="宋体"/>
        <charset val="134"/>
      </rPr>
      <t>合计</t>
    </r>
  </si>
  <si>
    <t>你需要投入多少真金白银才能转动这个生意。</t>
  </si>
  <si>
    <r>
      <rPr>
        <b/>
        <sz val="10.5"/>
        <color rgb="FFFF0000"/>
        <rFont val="宋体"/>
        <charset val="134"/>
      </rPr>
      <t>对于模棱两可的资产，</t>
    </r>
    <r>
      <rPr>
        <b/>
        <sz val="10.5"/>
        <color rgb="FFFF0000"/>
        <rFont val="Arial"/>
        <charset val="134"/>
      </rPr>
      <t xml:space="preserve">Penman </t>
    </r>
    <r>
      <rPr>
        <b/>
        <sz val="10.5"/>
        <color rgb="FFFF0000"/>
        <rFont val="宋体"/>
        <charset val="134"/>
      </rPr>
      <t>的黄金法则：除非你能明确证明它是用来</t>
    </r>
    <r>
      <rPr>
        <b/>
        <sz val="10.5"/>
        <color rgb="FFFF0000"/>
        <rFont val="Arial"/>
        <charset val="134"/>
      </rPr>
      <t>“</t>
    </r>
    <r>
      <rPr>
        <b/>
        <sz val="10.5"/>
        <color rgb="FFFF0000"/>
        <rFont val="宋体"/>
        <charset val="134"/>
      </rPr>
      <t>生利息</t>
    </r>
    <r>
      <rPr>
        <b/>
        <sz val="10.5"/>
        <color rgb="FFFF0000"/>
        <rFont val="Arial"/>
        <charset val="134"/>
      </rPr>
      <t>”</t>
    </r>
    <r>
      <rPr>
        <b/>
        <sz val="10.5"/>
        <color rgb="FFFF0000"/>
        <rFont val="宋体"/>
        <charset val="134"/>
      </rPr>
      <t>的（金融），否则一律默认归为</t>
    </r>
    <r>
      <rPr>
        <b/>
        <sz val="10.5"/>
        <color rgb="FFFF0000"/>
        <rFont val="Arial"/>
        <charset val="134"/>
      </rPr>
      <t>“</t>
    </r>
    <r>
      <rPr>
        <b/>
        <sz val="10.5"/>
        <color rgb="FFFF0000"/>
        <rFont val="宋体"/>
        <charset val="134"/>
      </rPr>
      <t>经营</t>
    </r>
    <r>
      <rPr>
        <b/>
        <sz val="10.5"/>
        <color rgb="FFFF0000"/>
        <rFont val="Arial"/>
        <charset val="134"/>
      </rPr>
      <t>”</t>
    </r>
    <r>
      <rPr>
        <b/>
        <sz val="10.5"/>
        <color rgb="FFFF0000"/>
        <rFont val="宋体"/>
        <charset val="134"/>
      </rPr>
      <t>。（因为我们要做的是计算</t>
    </r>
    <r>
      <rPr>
        <b/>
        <sz val="10.5"/>
        <color rgb="FFFF0000"/>
        <rFont val="Arial"/>
        <charset val="134"/>
      </rPr>
      <t xml:space="preserve"> RNOA</t>
    </r>
    <r>
      <rPr>
        <b/>
        <sz val="10.5"/>
        <color rgb="FFFF0000"/>
        <rFont val="宋体"/>
        <charset val="134"/>
      </rPr>
      <t>，把不明资产归入经营资产会增加分母，使</t>
    </r>
    <r>
      <rPr>
        <b/>
        <sz val="10.5"/>
        <color rgb="FFFF0000"/>
        <rFont val="Arial"/>
        <charset val="134"/>
      </rPr>
      <t xml:space="preserve"> RNOA </t>
    </r>
    <r>
      <rPr>
        <b/>
        <sz val="10.5"/>
        <color rgb="FFFF0000"/>
        <rFont val="宋体"/>
        <charset val="134"/>
      </rPr>
      <t>更保守、更真实）。</t>
    </r>
  </si>
  <si>
    <t>金融负债 (FL)</t>
  </si>
  <si>
    <t>1. 短期有息债务</t>
  </si>
  <si>
    <t>需要付息的短期钱。</t>
  </si>
  <si>
    <t>2. 长期有息债务</t>
  </si>
  <si>
    <t>需要付息的长期钱。</t>
  </si>
  <si>
    <t>3. 租赁负债</t>
  </si>
  <si>
    <t>虽是经营用，但本质是融资行为(付利息)。</t>
  </si>
  <si>
    <t>4. 隐性金融负债</t>
  </si>
  <si>
    <t>即将到期的债和欠的利息。</t>
  </si>
  <si>
    <t>5. 优先股/永续债</t>
  </si>
  <si>
    <r>
      <rPr>
        <i/>
        <sz val="10.5"/>
        <color theme="1"/>
        <rFont val="Arial"/>
        <charset val="134"/>
      </rPr>
      <t>注</t>
    </r>
    <r>
      <rPr>
        <sz val="10.5"/>
        <color theme="1"/>
        <rFont val="Arial"/>
        <charset val="134"/>
      </rPr>
      <t>：若在权益科目下，需人工判断是否该挪到这里。</t>
    </r>
  </si>
  <si>
    <t>金融负债合计 (FL)</t>
  </si>
  <si>
    <t>=SUM(上述 1-5 项)</t>
  </si>
  <si>
    <t>要付利息的债务总额。</t>
  </si>
  <si>
    <t>金融资产 (FA)</t>
  </si>
  <si>
    <t>6. 多余现金</t>
  </si>
  <si>
    <t>超过经营所需的闲置资金。</t>
  </si>
  <si>
    <t>7. 短期理财</t>
  </si>
  <si>
    <t>炒股、买基金的钱。</t>
  </si>
  <si>
    <t>8. 债权与借贷投资</t>
  </si>
  <si>
    <t>借给别人赚利息的钱。</t>
  </si>
  <si>
    <t>9. 投资性房地产</t>
  </si>
  <si>
    <r>
      <rPr>
        <i/>
        <sz val="10.5"/>
        <color theme="1"/>
        <rFont val="Arial"/>
        <charset val="134"/>
      </rPr>
      <t>注</t>
    </r>
    <r>
      <rPr>
        <sz val="10.5"/>
        <color theme="1"/>
        <rFont val="Arial"/>
        <charset val="134"/>
      </rPr>
      <t>：Penman 通常视为金融资产，除非是地产公司。</t>
    </r>
  </si>
  <si>
    <t>10. 其他金融投资</t>
  </si>
  <si>
    <t>被动持有的股份和投资收益。</t>
  </si>
  <si>
    <t>金融资产合计 (FA)</t>
  </si>
  <si>
    <t>=SUM(上述 6-10 项)</t>
  </si>
  <si>
    <t>闲钱和“小金库”。</t>
  </si>
  <si>
    <t>净金融负债 (NFO)</t>
  </si>
  <si>
    <t>企业的净债务负担。如果是负数，说明不缺钱。</t>
  </si>
  <si>
    <t>权益 (SE)</t>
  </si>
  <si>
    <t>1. 归属母公司权益</t>
  </si>
  <si>
    <t>包含股本、公积、未分利等。</t>
  </si>
  <si>
    <t>2. 少数股东权益</t>
  </si>
  <si>
    <t>视为广义的权益融资来源。</t>
  </si>
  <si>
    <t>3. 应付股利调整</t>
  </si>
  <si>
    <r>
      <rPr>
        <i/>
        <sz val="10.5"/>
        <color rgb="FF1A1C1E"/>
        <rFont val="Arial"/>
        <charset val="134"/>
      </rPr>
      <t>关键调整</t>
    </r>
    <r>
      <rPr>
        <sz val="10.5"/>
        <color rgb="FF1A1C1E"/>
        <rFont val="Arial"/>
        <charset val="134"/>
      </rPr>
      <t>：虽然报表里它是负债，但 Penman 认为钱还没流出，就仍属于股东。</t>
    </r>
  </si>
  <si>
    <t>调整后权益合计 (CSE)</t>
  </si>
  <si>
    <t>重构后的真实股东权益。</t>
  </si>
  <si>
    <t>配平检查</t>
  </si>
  <si>
    <t>会计恒等式检查</t>
  </si>
  <si>
    <r>
      <rPr>
        <b/>
        <sz val="10.5"/>
        <color rgb="FF1A1C1E"/>
        <rFont val="Arial"/>
        <charset val="134"/>
      </rPr>
      <t>结果必须为 0</t>
    </r>
    <r>
      <rPr>
        <sz val="10.5"/>
        <color rgb="FF1A1C1E"/>
        <rFont val="Arial"/>
        <charset val="134"/>
      </rPr>
      <t>。如果不为 0，说明分类有遗漏。</t>
    </r>
  </si>
  <si>
    <t>科目</t>
  </si>
  <si>
    <t>含义（是什么）</t>
  </si>
  <si>
    <t>分类判断要点（怎么分）</t>
  </si>
  <si>
    <t>结论（默认：非金融企业）</t>
  </si>
  <si>
    <t>流动资产</t>
  </si>
  <si>
    <t>货币资金</t>
  </si>
  <si>
    <t>库存现金、银行存款、其他货币资金（常含受限资金）</t>
  </si>
  <si>
    <r>
      <rPr>
        <sz val="11"/>
        <color theme="1"/>
        <rFont val="宋体"/>
        <charset val="134"/>
        <scheme val="minor"/>
      </rPr>
      <t>Penman 通常把</t>
    </r>
    <r>
      <rPr>
        <b/>
        <sz val="11"/>
        <color theme="1"/>
        <rFont val="宋体"/>
        <charset val="134"/>
        <scheme val="minor"/>
      </rPr>
      <t>现金及现金等价物</t>
    </r>
    <r>
      <rPr>
        <sz val="11"/>
        <color theme="1"/>
        <rFont val="宋体"/>
        <charset val="134"/>
        <scheme val="minor"/>
      </rPr>
      <t>视为金融资产；但若附注披露有大量</t>
    </r>
    <r>
      <rPr>
        <b/>
        <sz val="11"/>
        <color theme="1"/>
        <rFont val="宋体"/>
        <charset val="134"/>
        <scheme val="minor"/>
      </rPr>
      <t>经营性受限资金</t>
    </r>
    <r>
      <rPr>
        <sz val="11"/>
        <color theme="1"/>
        <rFont val="宋体"/>
        <charset val="134"/>
        <scheme val="minor"/>
      </rPr>
      <t>（保证金、信用证/保函保证金、监管专户等），可拆出一部分视作经营性占用</t>
    </r>
  </si>
  <si>
    <r>
      <rPr>
        <b/>
        <sz val="11"/>
        <color theme="1"/>
        <rFont val="宋体"/>
        <charset val="134"/>
        <scheme val="minor"/>
      </rPr>
      <t>金融资产</t>
    </r>
    <r>
      <rPr>
        <sz val="11"/>
        <color theme="1"/>
        <rFont val="宋体"/>
        <charset val="134"/>
        <scheme val="minor"/>
      </rPr>
      <t>（常需附注拆分“受限/经营性现金”）</t>
    </r>
  </si>
  <si>
    <t>结算备付金</t>
  </si>
  <si>
    <t>在清算机构/交易所的结算备付金（券商/期货常见）</t>
  </si>
  <si>
    <t>券商等以经纪清算为主营时是“经营所需”；非金融企业若出现，多为特殊业务/保证金性质，仍偏资金属性</t>
  </si>
  <si>
    <r>
      <rPr>
        <b/>
        <sz val="11"/>
        <color theme="1"/>
        <rFont val="宋体"/>
        <charset val="134"/>
        <scheme val="minor"/>
      </rPr>
      <t>通常金融资产</t>
    </r>
    <r>
      <rPr>
        <sz val="11"/>
        <color theme="1"/>
        <rFont val="宋体"/>
        <charset val="134"/>
        <scheme val="minor"/>
      </rPr>
      <t>（若为券商/期货：更偏</t>
    </r>
    <r>
      <rPr>
        <b/>
        <sz val="11"/>
        <color theme="1"/>
        <rFont val="宋体"/>
        <charset val="134"/>
        <scheme val="minor"/>
      </rPr>
      <t>经营资产</t>
    </r>
    <r>
      <rPr>
        <sz val="11"/>
        <color theme="1"/>
        <rFont val="宋体"/>
        <charset val="134"/>
        <scheme val="minor"/>
      </rPr>
      <t>）</t>
    </r>
  </si>
  <si>
    <t>拆出资金</t>
  </si>
  <si>
    <t>同业拆出/拆借给金融机构的资金</t>
  </si>
  <si>
    <t>本质是对外“出借资金”赚利息；对银行等属于经营（放贷/同业）</t>
  </si>
  <si>
    <r>
      <rPr>
        <b/>
        <sz val="11"/>
        <color theme="1"/>
        <rFont val="宋体"/>
        <charset val="134"/>
        <scheme val="minor"/>
      </rPr>
      <t>金融资产</t>
    </r>
    <r>
      <rPr>
        <sz val="11"/>
        <color theme="1"/>
        <rFont val="宋体"/>
        <charset val="134"/>
        <scheme val="minor"/>
      </rPr>
      <t>（银行等金融机构：可能是</t>
    </r>
    <r>
      <rPr>
        <b/>
        <sz val="11"/>
        <color theme="1"/>
        <rFont val="宋体"/>
        <charset val="134"/>
        <scheme val="minor"/>
      </rPr>
      <t>经营资产</t>
    </r>
    <r>
      <rPr>
        <sz val="11"/>
        <color theme="1"/>
        <rFont val="宋体"/>
        <charset val="134"/>
        <scheme val="minor"/>
      </rPr>
      <t>）</t>
    </r>
  </si>
  <si>
    <t>交易性金融资产</t>
  </si>
  <si>
    <t>FVTPL：短期交易性证券、基金、理财、股票等</t>
  </si>
  <si>
    <t>非金融企业一般是闲置资金理财/交易；金融机构若以交易为主营则属经营</t>
  </si>
  <si>
    <r>
      <rPr>
        <b/>
        <sz val="11"/>
        <color theme="1"/>
        <rFont val="宋体"/>
        <charset val="134"/>
        <scheme val="minor"/>
      </rPr>
      <t>金融资产</t>
    </r>
    <r>
      <rPr>
        <sz val="11"/>
        <color theme="1"/>
        <rFont val="宋体"/>
        <charset val="134"/>
        <scheme val="minor"/>
      </rPr>
      <t>（金融机构：可能是</t>
    </r>
    <r>
      <rPr>
        <b/>
        <sz val="11"/>
        <color theme="1"/>
        <rFont val="宋体"/>
        <charset val="134"/>
        <scheme val="minor"/>
      </rPr>
      <t>经营资产</t>
    </r>
    <r>
      <rPr>
        <sz val="11"/>
        <color theme="1"/>
        <rFont val="宋体"/>
        <charset val="134"/>
        <scheme val="minor"/>
      </rPr>
      <t>）</t>
    </r>
  </si>
  <si>
    <t>融出资金</t>
  </si>
  <si>
    <t>券商两融业务：向客户融资融券形成的融出资金</t>
  </si>
  <si>
    <t>券商主营；对非金融企业一般不会出现</t>
  </si>
  <si>
    <r>
      <rPr>
        <b/>
        <sz val="11"/>
        <color theme="1"/>
        <rFont val="宋体"/>
        <charset val="134"/>
        <scheme val="minor"/>
      </rPr>
      <t>金融资产</t>
    </r>
    <r>
      <rPr>
        <sz val="11"/>
        <color theme="1"/>
        <rFont val="宋体"/>
        <charset val="134"/>
        <scheme val="minor"/>
      </rPr>
      <t>（券商：更偏</t>
    </r>
    <r>
      <rPr>
        <b/>
        <sz val="11"/>
        <color theme="1"/>
        <rFont val="宋体"/>
        <charset val="134"/>
        <scheme val="minor"/>
      </rPr>
      <t>经营资产</t>
    </r>
    <r>
      <rPr>
        <sz val="11"/>
        <color theme="1"/>
        <rFont val="宋体"/>
        <charset val="134"/>
        <scheme val="minor"/>
      </rPr>
      <t>）</t>
    </r>
  </si>
  <si>
    <t>衍生金融资产</t>
  </si>
  <si>
    <t>衍生品公允价值为正形成的资产（远期/期权/掉期等）</t>
  </si>
  <si>
    <r>
      <rPr>
        <sz val="11"/>
        <color theme="1"/>
        <rFont val="宋体"/>
        <charset val="134"/>
        <scheme val="minor"/>
      </rPr>
      <t>关键看用途：</t>
    </r>
    <r>
      <rPr>
        <b/>
        <sz val="11"/>
        <color theme="1"/>
        <rFont val="宋体"/>
        <charset val="134"/>
        <scheme val="minor"/>
      </rPr>
      <t>套期保值且与经营风险相关</t>
    </r>
    <r>
      <rPr>
        <sz val="11"/>
        <color theme="1"/>
        <rFont val="宋体"/>
        <charset val="134"/>
        <scheme val="minor"/>
      </rPr>
      <t>（商品、外汇、利率对冲）→可视作经营相关；</t>
    </r>
    <r>
      <rPr>
        <b/>
        <sz val="11"/>
        <color theme="1"/>
        <rFont val="宋体"/>
        <charset val="134"/>
        <scheme val="minor"/>
      </rPr>
      <t>投机/交易</t>
    </r>
    <r>
      <rPr>
        <sz val="11"/>
        <color theme="1"/>
        <rFont val="宋体"/>
        <charset val="134"/>
        <scheme val="minor"/>
      </rPr>
      <t>→金融资产；需要看套期会计、风险管理说明</t>
    </r>
  </si>
  <si>
    <r>
      <rPr>
        <b/>
        <sz val="11"/>
        <color theme="1"/>
        <rFont val="宋体"/>
        <charset val="134"/>
        <scheme val="minor"/>
      </rPr>
      <t>需结合附注具体分析</t>
    </r>
    <r>
      <rPr>
        <sz val="11"/>
        <color theme="1"/>
        <rFont val="宋体"/>
        <charset val="134"/>
        <scheme val="minor"/>
      </rPr>
      <t>（常见：套保=偏经营；交易=金融）</t>
    </r>
  </si>
  <si>
    <t>应收票据及应收账款</t>
  </si>
  <si>
    <t>因销售商品/服务形成的应收款合计</t>
  </si>
  <si>
    <t>与主营收入直接匹配，通常就是经营周转资金</t>
  </si>
  <si>
    <t>经营资产</t>
  </si>
  <si>
    <t>其中：应收票据</t>
  </si>
  <si>
    <t>商业/银行承兑汇票等</t>
  </si>
  <si>
    <t>通常来自销售结算；若公司大量“票据投资/票据套利”需警惕（看附注票据来源与背书贴现）</t>
  </si>
  <si>
    <r>
      <rPr>
        <b/>
        <sz val="11"/>
        <color theme="1"/>
        <rFont val="宋体"/>
        <charset val="134"/>
        <scheme val="minor"/>
      </rPr>
      <t>通常经营资产</t>
    </r>
    <r>
      <rPr>
        <sz val="11"/>
        <color theme="1"/>
        <rFont val="宋体"/>
        <charset val="134"/>
        <scheme val="minor"/>
      </rPr>
      <t>（票据投资化时需附注）</t>
    </r>
  </si>
  <si>
    <t>其中：应收账款</t>
  </si>
  <si>
    <t>赊销形成的应收账款</t>
  </si>
  <si>
    <t>典型经营资产</t>
  </si>
  <si>
    <t>应收款项融资</t>
  </si>
  <si>
    <t>IFRS9/CAS：以公允价值计量的票据/应收款（常见为票据）</t>
  </si>
  <si>
    <r>
      <rPr>
        <sz val="11"/>
        <color theme="1"/>
        <rFont val="宋体"/>
        <charset val="134"/>
        <scheme val="minor"/>
      </rPr>
      <t>多数企业是销售回款形态变化（票据），仍与经营相关；但若附注明确为</t>
    </r>
    <r>
      <rPr>
        <b/>
        <sz val="11"/>
        <color theme="1"/>
        <rFont val="宋体"/>
        <charset val="134"/>
        <scheme val="minor"/>
      </rPr>
      <t>理财型票据/投资性持有</t>
    </r>
    <r>
      <rPr>
        <sz val="11"/>
        <color theme="1"/>
        <rFont val="宋体"/>
        <charset val="134"/>
        <scheme val="minor"/>
      </rPr>
      <t>则偏金融</t>
    </r>
  </si>
  <si>
    <r>
      <rPr>
        <b/>
        <sz val="11"/>
        <color theme="1"/>
        <rFont val="宋体"/>
        <charset val="134"/>
        <scheme val="minor"/>
      </rPr>
      <t>通常经营资产</t>
    </r>
    <r>
      <rPr>
        <sz val="11"/>
        <color theme="1"/>
        <rFont val="宋体"/>
        <charset val="134"/>
        <scheme val="minor"/>
      </rPr>
      <t>（可能需附注确认是否“投资化”）</t>
    </r>
  </si>
  <si>
    <t>预付款项</t>
  </si>
  <si>
    <t>预付供应商货款、预付采购款等</t>
  </si>
  <si>
    <t>经营采购链条的一部分</t>
  </si>
  <si>
    <t>应收保费</t>
  </si>
  <si>
    <t>保险公司应收未收的保费</t>
  </si>
  <si>
    <t>保险主营业务形成；非保险企业一般无此科目</t>
  </si>
  <si>
    <r>
      <rPr>
        <b/>
        <sz val="11"/>
        <color theme="1"/>
        <rFont val="宋体"/>
        <charset val="134"/>
        <scheme val="minor"/>
      </rPr>
      <t>金融机构（保险）=经营资产</t>
    </r>
    <r>
      <rPr>
        <sz val="11"/>
        <color theme="1"/>
        <rFont val="宋体"/>
        <charset val="134"/>
        <scheme val="minor"/>
      </rPr>
      <t>；非金融企业：通常不适用</t>
    </r>
  </si>
  <si>
    <t>应收分保账款</t>
  </si>
  <si>
    <t>再保险分出后，应向再保险方收回的款项</t>
  </si>
  <si>
    <t>同上，保险业经营往来</t>
  </si>
  <si>
    <r>
      <rPr>
        <b/>
        <sz val="11"/>
        <color theme="1"/>
        <rFont val="宋体"/>
        <charset val="134"/>
        <scheme val="minor"/>
      </rPr>
      <t>保险公司：经营资产</t>
    </r>
    <r>
      <rPr>
        <sz val="11"/>
        <color theme="1"/>
        <rFont val="宋体"/>
        <charset val="134"/>
        <scheme val="minor"/>
      </rPr>
      <t>（否则不适用）</t>
    </r>
  </si>
  <si>
    <t>应收分保合同准备金</t>
  </si>
  <si>
    <t>分出再保险对应的准备金资产（可收回的准备金）</t>
  </si>
  <si>
    <t>保险合同相关，属于保险经营资产</t>
  </si>
  <si>
    <t>其他应收款合计</t>
  </si>
  <si>
    <t>非主营赊销形成的各种应收款汇总</t>
  </si>
  <si>
    <t>混合度最高：可能含押金保证金、代垫款、往来款、关联方借款等；必须拆分其中是否“对外出借资金”</t>
  </si>
  <si>
    <t>需结合附注具体分析</t>
  </si>
  <si>
    <t>其中：应收利息</t>
  </si>
  <si>
    <t>应收未收的利息</t>
  </si>
  <si>
    <t>来自资金出借/金融投资的利息回报；非金融企业通常归金融资产配套</t>
  </si>
  <si>
    <r>
      <rPr>
        <b/>
        <sz val="11"/>
        <color theme="1"/>
        <rFont val="宋体"/>
        <charset val="134"/>
        <scheme val="minor"/>
      </rPr>
      <t>金融资产</t>
    </r>
    <r>
      <rPr>
        <sz val="11"/>
        <color theme="1"/>
        <rFont val="宋体"/>
        <charset val="134"/>
        <scheme val="minor"/>
      </rPr>
      <t>（银行等：可能是经营）</t>
    </r>
  </si>
  <si>
    <t>其中：应收股利</t>
  </si>
  <si>
    <t>应收未收的股利</t>
  </si>
  <si>
    <t>来自权益投资的回报，通常归金融资产配套</t>
  </si>
  <si>
    <r>
      <rPr>
        <b/>
        <sz val="11"/>
        <color theme="1"/>
        <rFont val="宋体"/>
        <charset val="134"/>
        <scheme val="minor"/>
      </rPr>
      <t>金融资产</t>
    </r>
    <r>
      <rPr>
        <sz val="11"/>
        <color theme="1"/>
        <rFont val="宋体"/>
        <charset val="134"/>
        <scheme val="minor"/>
      </rPr>
      <t>（若为战略联营/合营可再讨论）</t>
    </r>
  </si>
  <si>
    <t>其中：其他应收款</t>
  </si>
  <si>
    <t>除利息/股利外的其他应收</t>
  </si>
  <si>
    <t>常见：押金保证金（经营）、代垫款（经营）、员工借款（经营管理）、关联方借款（金融/非经营）；高度依赖附注</t>
  </si>
  <si>
    <t>应收出口退税</t>
  </si>
  <si>
    <t>出口形成的应收退税（增值税等）</t>
  </si>
  <si>
    <t>与销售/税务结算相关，通常视为经营性资产（经营税项的一部分）</t>
  </si>
  <si>
    <t>应收补贴款</t>
  </si>
  <si>
    <t>政府补助形成的应收款</t>
  </si>
  <si>
    <r>
      <rPr>
        <sz val="11"/>
        <color theme="1"/>
        <rFont val="宋体"/>
        <charset val="134"/>
        <scheme val="minor"/>
      </rPr>
      <t>看补助性质：</t>
    </r>
    <r>
      <rPr>
        <b/>
        <sz val="11"/>
        <color theme="1"/>
        <rFont val="宋体"/>
        <charset val="134"/>
        <scheme val="minor"/>
      </rPr>
      <t>与日常经营相关的补助</t>
    </r>
    <r>
      <rPr>
        <sz val="11"/>
        <color theme="1"/>
        <rFont val="宋体"/>
        <charset val="134"/>
        <scheme val="minor"/>
      </rPr>
      <t>→经营；</t>
    </r>
    <r>
      <rPr>
        <b/>
        <sz val="11"/>
        <color theme="1"/>
        <rFont val="宋体"/>
        <charset val="134"/>
        <scheme val="minor"/>
      </rPr>
      <t>与资本性项目/融资性安排相关</t>
    </r>
    <r>
      <rPr>
        <sz val="11"/>
        <color theme="1"/>
        <rFont val="宋体"/>
        <charset val="134"/>
        <scheme val="minor"/>
      </rPr>
      <t>→可能更偏非经营；需看附注“与资产相关/与收益相关”</t>
    </r>
  </si>
  <si>
    <r>
      <rPr>
        <b/>
        <sz val="11"/>
        <color theme="1"/>
        <rFont val="宋体"/>
        <charset val="134"/>
        <scheme val="minor"/>
      </rPr>
      <t>通常经营资产</t>
    </r>
    <r>
      <rPr>
        <sz val="11"/>
        <color theme="1"/>
        <rFont val="宋体"/>
        <charset val="134"/>
        <scheme val="minor"/>
      </rPr>
      <t>（常需附注确认补助性质）</t>
    </r>
  </si>
  <si>
    <t>内部应收款</t>
  </si>
  <si>
    <t>集团内部往来应收（母子/关联内部）</t>
  </si>
  <si>
    <t>合并报表应抵消；单体报表需看性质：内部贸易往来（经营）vs 内部拆借（金融）</t>
  </si>
  <si>
    <t>买入返售金融资产</t>
  </si>
  <si>
    <t>逆回购/买入返售（以金融资产为抵押的短期投放）</t>
  </si>
  <si>
    <t>本质是短期“出借资金”并收利息；券商/银行可能是主营经营工具</t>
  </si>
  <si>
    <r>
      <rPr>
        <b/>
        <sz val="11"/>
        <color theme="1"/>
        <rFont val="宋体"/>
        <charset val="134"/>
        <scheme val="minor"/>
      </rPr>
      <t>金融资产</t>
    </r>
    <r>
      <rPr>
        <sz val="11"/>
        <color theme="1"/>
        <rFont val="宋体"/>
        <charset val="134"/>
        <scheme val="minor"/>
      </rPr>
      <t>（金融机构：可能是经营）</t>
    </r>
  </si>
  <si>
    <t>以摊余成本计量的金融资产</t>
  </si>
  <si>
    <t>以摊余成本计量的债权/贷款/存款等（持有收取合同现金流）</t>
  </si>
  <si>
    <t>非金融企业通常是理财/债权投资/放款；金融机构可能是主营信贷资产</t>
  </si>
  <si>
    <r>
      <rPr>
        <b/>
        <sz val="11"/>
        <color theme="1"/>
        <rFont val="宋体"/>
        <charset val="134"/>
        <scheme val="minor"/>
      </rPr>
      <t>金融资产</t>
    </r>
    <r>
      <rPr>
        <sz val="11"/>
        <color theme="1"/>
        <rFont val="宋体"/>
        <charset val="134"/>
        <scheme val="minor"/>
      </rPr>
      <t>（金融机构：可能经营）</t>
    </r>
  </si>
  <si>
    <t>以公允价值计量且其变动计入其他综合收益的金融资产</t>
  </si>
  <si>
    <t>FVOCI 金融资产（常见债券；也可能是指定FVOCI的权益工具）</t>
  </si>
  <si>
    <t>通常是投资属性；若权益工具是战略持股可再讨论</t>
  </si>
  <si>
    <r>
      <rPr>
        <b/>
        <sz val="11"/>
        <color theme="1"/>
        <rFont val="宋体"/>
        <charset val="134"/>
        <scheme val="minor"/>
      </rPr>
      <t>金融资产</t>
    </r>
    <r>
      <rPr>
        <sz val="11"/>
        <color theme="1"/>
        <rFont val="宋体"/>
        <charset val="134"/>
        <scheme val="minor"/>
      </rPr>
      <t>（战略持股情形：可提示附注）</t>
    </r>
  </si>
  <si>
    <t>存货</t>
  </si>
  <si>
    <t>原材料、在产品、产成品、库存商品等</t>
  </si>
  <si>
    <t>典型经营周转资产</t>
  </si>
  <si>
    <t>其中：消耗性生物资产</t>
  </si>
  <si>
    <t>可收获/可出售的生物资产（林木、牲畜等消耗性）</t>
  </si>
  <si>
    <t>农林牧渔经营周转资产</t>
  </si>
  <si>
    <t>合同资产</t>
  </si>
  <si>
    <t>已履约但尚未无条件收款的权利（收入确认产生）</t>
  </si>
  <si>
    <t>与主营收入/履约直接相关</t>
  </si>
  <si>
    <t>持有待售资产</t>
  </si>
  <si>
    <t>满足条件拟出售、单独列示的资产/处置组</t>
  </si>
  <si>
    <t>先看“底层是什么资产”：如果底层是经营性资产（厂房、子公司处置组）则仍属经营；若底层是金融投资则金融；必须看附注处置组构成</t>
  </si>
  <si>
    <t>一年内到期的非流动资产</t>
  </si>
  <si>
    <t>原非流动资产中将于一年内收回/到期部分（如长期应收、债权投资等）</t>
  </si>
  <si>
    <t>仍然取决于“来源”：长期应收来自销售分期→经营；来自融资租赁/借款→金融；债券到期→金融</t>
  </si>
  <si>
    <t>代理业务资产</t>
  </si>
  <si>
    <t>代理买卖/经纪业务形成的资产（券商常见）</t>
  </si>
  <si>
    <t>对券商是经营资产；非金融企业一般不出现</t>
  </si>
  <si>
    <r>
      <rPr>
        <b/>
        <sz val="11"/>
        <color theme="1"/>
        <rFont val="宋体"/>
        <charset val="134"/>
        <scheme val="minor"/>
      </rPr>
      <t>券商：经营资产</t>
    </r>
    <r>
      <rPr>
        <sz val="11"/>
        <color theme="1"/>
        <rFont val="宋体"/>
        <charset val="134"/>
        <scheme val="minor"/>
      </rPr>
      <t>；非金融企业：通常不适用</t>
    </r>
  </si>
  <si>
    <t>其他流动资产</t>
  </si>
  <si>
    <t>口径很杂：待抵扣进项税、预缴税费、理财、保证金、待摊费用等</t>
  </si>
  <si>
    <r>
      <rPr>
        <sz val="11"/>
        <color theme="1"/>
        <rFont val="宋体"/>
        <charset val="134"/>
        <scheme val="minor"/>
      </rPr>
      <t>必须看附注拆分：</t>
    </r>
    <r>
      <rPr>
        <b/>
        <sz val="11"/>
        <color theme="1"/>
        <rFont val="宋体"/>
        <charset val="134"/>
        <scheme val="minor"/>
      </rPr>
      <t>税费/预付/待摊</t>
    </r>
    <r>
      <rPr>
        <sz val="11"/>
        <color theme="1"/>
        <rFont val="宋体"/>
        <charset val="134"/>
        <scheme val="minor"/>
      </rPr>
      <t>多为经营；</t>
    </r>
    <r>
      <rPr>
        <b/>
        <sz val="11"/>
        <color theme="1"/>
        <rFont val="宋体"/>
        <charset val="134"/>
        <scheme val="minor"/>
      </rPr>
      <t>理财/结构性存款</t>
    </r>
    <r>
      <rPr>
        <sz val="11"/>
        <color theme="1"/>
        <rFont val="宋体"/>
        <charset val="134"/>
        <scheme val="minor"/>
      </rPr>
      <t>多为金融</t>
    </r>
  </si>
  <si>
    <t>流动资产其他项目</t>
  </si>
  <si>
    <t>报表列示的“其他”汇总行</t>
  </si>
  <si>
    <t>信息不足，通常就是“其他流动资产”的进一步归集</t>
  </si>
  <si>
    <t>流动资产平衡项目</t>
  </si>
  <si>
    <t>常见于数据口径/取数差异的“平衡行”（使合计一致）</t>
  </si>
  <si>
    <t>非真实会计科目，应追溯来源（数据质量/重分类口径）</t>
  </si>
  <si>
    <t>不分类（数据平衡项）</t>
  </si>
  <si>
    <t>流动资产合计</t>
  </si>
  <si>
    <t>流动资产小计</t>
  </si>
  <si>
    <t>汇总行</t>
  </si>
  <si>
    <t>不分类（小计）</t>
  </si>
  <si>
    <t>非流动资产</t>
  </si>
  <si>
    <t>发放委托贷款及垫款</t>
  </si>
  <si>
    <t>委托贷款（通过银行通道向外放款）及相关垫款</t>
  </si>
  <si>
    <t>本质是对外提供资金、赚取利息；很多时候是非主营“类金融化”</t>
  </si>
  <si>
    <r>
      <rPr>
        <b/>
        <sz val="11"/>
        <color theme="1"/>
        <rFont val="宋体"/>
        <charset val="134"/>
        <scheme val="minor"/>
      </rPr>
      <t>金融资产</t>
    </r>
    <r>
      <rPr>
        <sz val="11"/>
        <color theme="1"/>
        <rFont val="宋体"/>
        <charset val="134"/>
        <scheme val="minor"/>
      </rPr>
      <t>（需关注是否为关联方资金占用）</t>
    </r>
  </si>
  <si>
    <t>债权投资</t>
  </si>
  <si>
    <t>新准则下的债权类投资（多与摊余成本/FVOCI相关）</t>
  </si>
  <si>
    <t>投资属性强，利息回报</t>
  </si>
  <si>
    <t>金融资产</t>
  </si>
  <si>
    <t>以摊余成本计量的金融资产（非流动）</t>
  </si>
  <si>
    <t>非流动的摊余成本金融资产（债券、贷款等）</t>
  </si>
  <si>
    <t>投资/放款属性</t>
  </si>
  <si>
    <t>其他债权投资</t>
  </si>
  <si>
    <t>通常指 FVOCI 债权投资</t>
  </si>
  <si>
    <t>投资属性</t>
  </si>
  <si>
    <t>以公允价值计量且其变动计入其他综合收益的金融资产（非流动）</t>
  </si>
  <si>
    <t>非流动FVOCI金融资产</t>
  </si>
  <si>
    <t>投资属性；若是战略持股需附注判断</t>
  </si>
  <si>
    <r>
      <rPr>
        <b/>
        <sz val="11"/>
        <color theme="1"/>
        <rFont val="宋体"/>
        <charset val="134"/>
        <scheme val="minor"/>
      </rPr>
      <t>金融资产</t>
    </r>
    <r>
      <rPr>
        <sz val="11"/>
        <color theme="1"/>
        <rFont val="宋体"/>
        <charset val="134"/>
        <scheme val="minor"/>
      </rPr>
      <t>（战略股权：可提示附注）</t>
    </r>
  </si>
  <si>
    <t>可供出售金融资产</t>
  </si>
  <si>
    <t>旧准则 AFS</t>
  </si>
  <si>
    <t>持有至到期投资</t>
  </si>
  <si>
    <t>旧准则 HTM</t>
  </si>
  <si>
    <t>长期应收款</t>
  </si>
  <si>
    <t>一年以上收回的应收款：分期收款、融资租赁应收款、保证金等</t>
  </si>
  <si>
    <r>
      <rPr>
        <sz val="11"/>
        <color theme="1"/>
        <rFont val="宋体"/>
        <charset val="134"/>
        <scheme val="minor"/>
      </rPr>
      <t>关键看形成原因：</t>
    </r>
    <r>
      <rPr>
        <b/>
        <sz val="11"/>
        <color theme="1"/>
        <rFont val="宋体"/>
        <charset val="134"/>
        <scheme val="minor"/>
      </rPr>
      <t>分期销售/工程结算</t>
    </r>
    <r>
      <rPr>
        <sz val="11"/>
        <color theme="1"/>
        <rFont val="宋体"/>
        <charset val="134"/>
        <scheme val="minor"/>
      </rPr>
      <t>→经营；</t>
    </r>
    <r>
      <rPr>
        <b/>
        <sz val="11"/>
        <color theme="1"/>
        <rFont val="宋体"/>
        <charset val="134"/>
        <scheme val="minor"/>
      </rPr>
      <t>融资租赁/对外借款/类放贷</t>
    </r>
    <r>
      <rPr>
        <sz val="11"/>
        <color theme="1"/>
        <rFont val="宋体"/>
        <charset val="134"/>
        <scheme val="minor"/>
      </rPr>
      <t>→金融</t>
    </r>
  </si>
  <si>
    <t>长期股权投资</t>
  </si>
  <si>
    <t>对子公司/联营合营/长期持股（权益法等）</t>
  </si>
  <si>
    <t>若为产业协同、供应链/渠道/资源控制等战略投资，Penman 常把其视为经营性投资的一部分；若纯财务投资则更偏金融；需看投资目的、是否并表/权益法、收益来源</t>
  </si>
  <si>
    <r>
      <rPr>
        <b/>
        <sz val="11"/>
        <color theme="1"/>
        <rFont val="宋体"/>
        <charset val="134"/>
        <scheme val="minor"/>
      </rPr>
      <t>通常需结合附注分析</t>
    </r>
    <r>
      <rPr>
        <sz val="11"/>
        <color theme="1"/>
        <rFont val="宋体"/>
        <charset val="134"/>
        <scheme val="minor"/>
      </rPr>
      <t>（偏“经营性投资”或“金融性投资”）</t>
    </r>
  </si>
  <si>
    <t>其他权益工具投资</t>
  </si>
  <si>
    <t>一般为指定FVOCI的权益工具投资（非交易）</t>
  </si>
  <si>
    <t>可能是战略少数股权，也可能是长期财务投资；看是否与主营协同、是否获取分红/公允价值</t>
  </si>
  <si>
    <r>
      <rPr>
        <b/>
        <sz val="11"/>
        <color theme="1"/>
        <rFont val="宋体"/>
        <charset val="134"/>
        <scheme val="minor"/>
      </rPr>
      <t>需结合附注具体分析</t>
    </r>
    <r>
      <rPr>
        <sz val="11"/>
        <color theme="1"/>
        <rFont val="宋体"/>
        <charset val="134"/>
        <scheme val="minor"/>
      </rPr>
      <t>（多数情况偏金融）</t>
    </r>
  </si>
  <si>
    <t>其他非流动金融资产</t>
  </si>
  <si>
    <t>各类非流动金融工具：长期理财、结构性存款、衍生品保证金/投资等</t>
  </si>
  <si>
    <t>名称已指向金融属性，但“里面装什么”差异大，必须看附注明细</t>
  </si>
  <si>
    <r>
      <rPr>
        <b/>
        <sz val="11"/>
        <color theme="1"/>
        <rFont val="宋体"/>
        <charset val="134"/>
        <scheme val="minor"/>
      </rPr>
      <t>通常金融资产</t>
    </r>
    <r>
      <rPr>
        <sz val="11"/>
        <color theme="1"/>
        <rFont val="宋体"/>
        <charset val="134"/>
        <scheme val="minor"/>
      </rPr>
      <t>（但常需附注拆分）</t>
    </r>
  </si>
  <si>
    <t>投资性房地产</t>
  </si>
  <si>
    <t>为赚取租金/资本增值而持有的房地产</t>
  </si>
  <si>
    <t>若公司本身以出租/持有物业为主营（商业地产、REIT平台、酒店物业出租等）→经营资产；若只是闲置物业投资→可视作非核心经营资产（仍不属于金融资产）</t>
  </si>
  <si>
    <r>
      <rPr>
        <b/>
        <sz val="11"/>
        <color theme="1"/>
        <rFont val="宋体"/>
        <charset val="134"/>
        <scheme val="minor"/>
      </rPr>
      <t>通常经营资产</t>
    </r>
    <r>
      <rPr>
        <sz val="11"/>
        <color theme="1"/>
        <rFont val="宋体"/>
        <charset val="134"/>
        <scheme val="minor"/>
      </rPr>
      <t>（但建议注明“非主营/投资性经营资产”）</t>
    </r>
  </si>
  <si>
    <t>固定资产</t>
  </si>
  <si>
    <t>PPE：厂房设备、机器等</t>
  </si>
  <si>
    <t>经营投入</t>
  </si>
  <si>
    <t>在建工程</t>
  </si>
  <si>
    <t>正在建造的工程项目</t>
  </si>
  <si>
    <t>未来经营投入</t>
  </si>
  <si>
    <t>工程物资</t>
  </si>
  <si>
    <t>为在建工程采购的专用物资</t>
  </si>
  <si>
    <t>固定资产清理</t>
  </si>
  <si>
    <t>待处置/报废的固定资产净额</t>
  </si>
  <si>
    <t>底层仍是经营资产，只是进入处置过程；通常作为经营资产的调整项</t>
  </si>
  <si>
    <t>生产性生物资产</t>
  </si>
  <si>
    <t>用于生产的生物资产（奶牛、果树等“生物固定资产”）</t>
  </si>
  <si>
    <t>油气资产</t>
  </si>
  <si>
    <t>油气勘探开发相关资产</t>
  </si>
  <si>
    <t>使用权资产</t>
  </si>
  <si>
    <t>租赁确认的使用权资产（厂房、门店、车辆等）</t>
  </si>
  <si>
    <r>
      <rPr>
        <sz val="11"/>
        <color theme="1"/>
        <rFont val="宋体"/>
        <charset val="134"/>
        <scheme val="minor"/>
      </rPr>
      <t>用于经营活动；重构时常与</t>
    </r>
    <r>
      <rPr>
        <b/>
        <sz val="11"/>
        <color theme="1"/>
        <rFont val="宋体"/>
        <charset val="134"/>
        <scheme val="minor"/>
      </rPr>
      <t>租赁负债</t>
    </r>
    <r>
      <rPr>
        <sz val="11"/>
        <color theme="1"/>
        <rFont val="宋体"/>
        <charset val="134"/>
        <scheme val="minor"/>
      </rPr>
      <t>（类债务）对应，资产端仍归经营</t>
    </r>
  </si>
  <si>
    <t>无形资产</t>
  </si>
  <si>
    <t>专利、商标、软件、土地使用权等</t>
  </si>
  <si>
    <t>开发支出</t>
  </si>
  <si>
    <t>满足资本化条件的研发开发支出</t>
  </si>
  <si>
    <t>经营投入（研发资本化）</t>
  </si>
  <si>
    <t>商誉</t>
  </si>
  <si>
    <t>并购溢价形成</t>
  </si>
  <si>
    <t>经营性并购的组成部分；通常放在经营资产（但可单列用于分析）</t>
  </si>
  <si>
    <t>长期待摊费用</t>
  </si>
  <si>
    <t>一年以上摊销的预付费用（装修、租入改良等）</t>
  </si>
  <si>
    <t>经营相关</t>
  </si>
  <si>
    <t>递延所得税资产</t>
  </si>
  <si>
    <t>暂时性差异形成的未来可抵扣所得税</t>
  </si>
  <si>
    <t>通常来源于经营会计与税法差异；重构多归入经营性（与经营税项相关）</t>
  </si>
  <si>
    <t>其他非流动资产</t>
  </si>
  <si>
    <t>口径很杂：预付工程款、长期预付款、保证金、待处理资产、长期待摊等</t>
  </si>
  <si>
    <t>必须看附注明细，里面可能既有经营也有金融（长期保证金/理财等）</t>
  </si>
  <si>
    <t>非流动资产其他项目</t>
  </si>
  <si>
    <t>报表列示“其他”汇总行</t>
  </si>
  <si>
    <t>信息不足，需要附注明细</t>
  </si>
  <si>
    <t>非流动资产平衡项目</t>
  </si>
  <si>
    <t>数据口径/取数差异的平衡行</t>
  </si>
  <si>
    <t>非真实科目，应追溯来源</t>
  </si>
  <si>
    <t>非流动资产合计</t>
  </si>
  <si>
    <t>非流动资产小计</t>
  </si>
  <si>
    <t>资产其他项目</t>
  </si>
  <si>
    <t>报表列示“其他资产”汇总行</t>
  </si>
  <si>
    <t>需看构成</t>
  </si>
  <si>
    <t>资产平衡项目</t>
  </si>
  <si>
    <t>数据平衡行</t>
  </si>
  <si>
    <t>非真实科目</t>
  </si>
  <si>
    <t>资产总计</t>
  </si>
  <si>
    <t>总计</t>
  </si>
  <si>
    <t>不分类（总计）</t>
  </si>
  <si>
    <t>流动负债</t>
  </si>
  <si>
    <t>短期借款</t>
  </si>
  <si>
    <t>一年内到期或期限≤1年的银行借款/信用借款等</t>
  </si>
  <si>
    <t>典型计息融资</t>
  </si>
  <si>
    <t>金融负债</t>
  </si>
  <si>
    <t>向中央银行借款</t>
  </si>
  <si>
    <t>向央行取得的借款（多见银行）</t>
  </si>
  <si>
    <t>银行体系融资来源；银行为经营工具，非金融企业很少出现</t>
  </si>
  <si>
    <r>
      <rPr>
        <b/>
        <sz val="11"/>
        <color theme="1"/>
        <rFont val="宋体"/>
        <charset val="134"/>
        <scheme val="minor"/>
      </rPr>
      <t>通常金融负债</t>
    </r>
    <r>
      <rPr>
        <sz val="11"/>
        <color theme="1"/>
        <rFont val="宋体"/>
        <charset val="134"/>
        <scheme val="minor"/>
      </rPr>
      <t>（银行：更偏</t>
    </r>
    <r>
      <rPr>
        <b/>
        <sz val="11"/>
        <color theme="1"/>
        <rFont val="宋体"/>
        <charset val="134"/>
        <scheme val="minor"/>
      </rPr>
      <t>经营负债</t>
    </r>
    <r>
      <rPr>
        <sz val="11"/>
        <color theme="1"/>
        <rFont val="宋体"/>
        <charset val="134"/>
        <scheme val="minor"/>
      </rPr>
      <t>）</t>
    </r>
  </si>
  <si>
    <t>吸收存款及同业存放</t>
  </si>
  <si>
    <t>客户存款、同业存放（多见银行）</t>
  </si>
  <si>
    <t>对银行是“原材料/主营资金来源”；对非金融企业通常不出现</t>
  </si>
  <si>
    <r>
      <rPr>
        <b/>
        <sz val="11"/>
        <color theme="1"/>
        <rFont val="宋体"/>
        <charset val="134"/>
        <scheme val="minor"/>
      </rPr>
      <t>银行：经营负债</t>
    </r>
    <r>
      <rPr>
        <sz val="11"/>
        <color theme="1"/>
        <rFont val="宋体"/>
        <charset val="134"/>
        <scheme val="minor"/>
      </rPr>
      <t>；非金融企业：通常不适用/若有则偏金融</t>
    </r>
  </si>
  <si>
    <t>拆入资金</t>
  </si>
  <si>
    <t>同业拆入/短期拆借资金</t>
  </si>
  <si>
    <t>计息融资；金融机构可能作为日常经营资金管理工具</t>
  </si>
  <si>
    <r>
      <rPr>
        <b/>
        <sz val="11"/>
        <color theme="1"/>
        <rFont val="宋体"/>
        <charset val="134"/>
        <scheme val="minor"/>
      </rPr>
      <t>金融负债</t>
    </r>
    <r>
      <rPr>
        <sz val="11"/>
        <color theme="1"/>
        <rFont val="宋体"/>
        <charset val="134"/>
        <scheme val="minor"/>
      </rPr>
      <t>（银行/券商：可能偏经营）</t>
    </r>
  </si>
  <si>
    <t>交易性金融负债</t>
  </si>
  <si>
    <t>FVTPL：以交易为目的的金融负债（如卖空、短期交易形成的负债等）</t>
  </si>
  <si>
    <t>明显金融属性；若金融机构以交易为主营则偏经营</t>
  </si>
  <si>
    <r>
      <rPr>
        <b/>
        <sz val="11"/>
        <color theme="1"/>
        <rFont val="宋体"/>
        <charset val="134"/>
        <scheme val="minor"/>
      </rPr>
      <t>金融负债</t>
    </r>
    <r>
      <rPr>
        <sz val="11"/>
        <color theme="1"/>
        <rFont val="宋体"/>
        <charset val="134"/>
        <scheme val="minor"/>
      </rPr>
      <t>（金融机构：可能偏经营）</t>
    </r>
  </si>
  <si>
    <t>衍生金融负债</t>
  </si>
  <si>
    <t>衍生品公允价值为负形成的负债</t>
  </si>
  <si>
    <r>
      <rPr>
        <sz val="11"/>
        <color theme="1"/>
        <rFont val="宋体"/>
        <charset val="134"/>
        <scheme val="minor"/>
      </rPr>
      <t>关键看用途：**套期保值（对冲经营风险）**可视作经营相关；</t>
    </r>
    <r>
      <rPr>
        <b/>
        <sz val="11"/>
        <color theme="1"/>
        <rFont val="宋体"/>
        <charset val="134"/>
        <scheme val="minor"/>
      </rPr>
      <t>投机交易</t>
    </r>
    <r>
      <rPr>
        <sz val="11"/>
        <color theme="1"/>
        <rFont val="宋体"/>
        <charset val="134"/>
        <scheme val="minor"/>
      </rPr>
      <t>为金融；需看套期会计与风险管理披露</t>
    </r>
  </si>
  <si>
    <r>
      <rPr>
        <b/>
        <sz val="11"/>
        <color theme="1"/>
        <rFont val="宋体"/>
        <charset val="134"/>
        <scheme val="minor"/>
      </rPr>
      <t>需结合附注具体分析</t>
    </r>
    <r>
      <rPr>
        <sz val="11"/>
        <color theme="1"/>
        <rFont val="宋体"/>
        <charset val="134"/>
        <scheme val="minor"/>
      </rPr>
      <t>（套保=偏经营相关；交易=金融）</t>
    </r>
  </si>
  <si>
    <t>应付票据及应付账款</t>
  </si>
  <si>
    <t>采购形成的应付合计</t>
  </si>
  <si>
    <t>供应链信用，经营周转负债</t>
  </si>
  <si>
    <t>经营负债</t>
  </si>
  <si>
    <t>其中：应付票据</t>
  </si>
  <si>
    <t>向供应商开具的票据（承兑汇票等）</t>
  </si>
  <si>
    <t>属于采购结算与供应链融资的结合；一般仍视作经营性（但若本质是借款替代需关注）</t>
  </si>
  <si>
    <r>
      <rPr>
        <b/>
        <sz val="11"/>
        <color theme="1"/>
        <rFont val="宋体"/>
        <charset val="134"/>
        <scheme val="minor"/>
      </rPr>
      <t>通常经营负债</t>
    </r>
    <r>
      <rPr>
        <sz val="11"/>
        <color theme="1"/>
        <rFont val="宋体"/>
        <charset val="134"/>
        <scheme val="minor"/>
      </rPr>
      <t>（若明显融资化可附注调整）</t>
    </r>
  </si>
  <si>
    <t>其中：应付账款</t>
  </si>
  <si>
    <t>赊购形成的应付账款</t>
  </si>
  <si>
    <t>典型经营负债</t>
  </si>
  <si>
    <t>预收款项</t>
  </si>
  <si>
    <t>旧口径：预收客户款项（未履约）</t>
  </si>
  <si>
    <t>与销售履约相关</t>
  </si>
  <si>
    <t>合同负债</t>
  </si>
  <si>
    <t>新收入准则：已收/应收对价但尚未履约</t>
  </si>
  <si>
    <t>与主营履约强相关</t>
  </si>
  <si>
    <t>卖出回购金融资产款</t>
  </si>
  <si>
    <t>回购融资（质押/卖出回购），本质是借钱</t>
  </si>
  <si>
    <t>计息融资工具；金融机构可能频繁作为经营工具</t>
  </si>
  <si>
    <t>应付手续费及佣金</t>
  </si>
  <si>
    <t>应付给渠道/中介/代理的手续费佣金（券商也常见）</t>
  </si>
  <si>
    <t>非金融企业多为销售费用/服务费应付，属于经营成本应计；券商等若为主营结算也属经营</t>
  </si>
  <si>
    <r>
      <rPr>
        <b/>
        <sz val="11"/>
        <color theme="1"/>
        <rFont val="宋体"/>
        <charset val="134"/>
        <scheme val="minor"/>
      </rPr>
      <t>经营负债</t>
    </r>
    <r>
      <rPr>
        <sz val="11"/>
        <color theme="1"/>
        <rFont val="宋体"/>
        <charset val="134"/>
        <scheme val="minor"/>
      </rPr>
      <t>（一般如此）</t>
    </r>
  </si>
  <si>
    <t>应付职工薪酬</t>
  </si>
  <si>
    <t>应付工资、奖金、社保、公积金等</t>
  </si>
  <si>
    <t>经营成本应计</t>
  </si>
  <si>
    <t>应交税费</t>
  </si>
  <si>
    <t>增值税、企业所得税、附加税等应交未交</t>
  </si>
  <si>
    <t>经营税项应计（Penman 通常归经营）</t>
  </si>
  <si>
    <t>其他应付款合计</t>
  </si>
  <si>
    <t>各类杂项应付款汇总（费用、押金、保证金、往来、代垫等）</t>
  </si>
  <si>
    <r>
      <rPr>
        <sz val="11"/>
        <color theme="1"/>
        <rFont val="宋体"/>
        <charset val="134"/>
        <scheme val="minor"/>
      </rPr>
      <t>混合度极高：可能包含</t>
    </r>
    <r>
      <rPr>
        <b/>
        <sz val="11"/>
        <color theme="1"/>
        <rFont val="宋体"/>
        <charset val="134"/>
        <scheme val="minor"/>
      </rPr>
      <t>经营应计费用</t>
    </r>
    <r>
      <rPr>
        <sz val="11"/>
        <color theme="1"/>
        <rFont val="宋体"/>
        <charset val="134"/>
        <scheme val="minor"/>
      </rPr>
      <t>（经营）也可能包含</t>
    </r>
    <r>
      <rPr>
        <b/>
        <sz val="11"/>
        <color theme="1"/>
        <rFont val="宋体"/>
        <charset val="134"/>
        <scheme val="minor"/>
      </rPr>
      <t>关联方拆借/借款性质往来</t>
    </r>
    <r>
      <rPr>
        <sz val="11"/>
        <color theme="1"/>
        <rFont val="宋体"/>
        <charset val="134"/>
        <scheme val="minor"/>
      </rPr>
      <t>（金融）。必须拆附注明细</t>
    </r>
  </si>
  <si>
    <t>其中：应付利息</t>
  </si>
  <si>
    <t>应付未付的利息</t>
  </si>
  <si>
    <t>与计息债务配套</t>
  </si>
  <si>
    <t>其中：应付股利</t>
  </si>
  <si>
    <t>已宣告/应付未付股利</t>
  </si>
  <si>
    <t>本质是对股东的分配，非经营；重构时常作为“融资/股东索取”的一部分处理</t>
  </si>
  <si>
    <r>
      <rPr>
        <b/>
        <sz val="11"/>
        <color theme="1"/>
        <rFont val="宋体"/>
        <charset val="134"/>
        <scheme val="minor"/>
      </rPr>
      <t>金融类（融资相关负债）</t>
    </r>
    <r>
      <rPr>
        <sz val="11"/>
        <color theme="1"/>
        <rFont val="宋体"/>
        <charset val="134"/>
        <scheme val="minor"/>
      </rPr>
      <t>（但建议单列“股利应付”便于重构）</t>
    </r>
  </si>
  <si>
    <t>其中：其他应付款</t>
  </si>
  <si>
    <t>除利息/股利之外的应付款</t>
  </si>
  <si>
    <t>需看明细：费用应计/押金保证金（经营） vs 资金拆借（金融）</t>
  </si>
  <si>
    <t>应付分保账款</t>
  </si>
  <si>
    <t>再保险分出后应付给再保险方的账款（保险业）</t>
  </si>
  <si>
    <t>保险主营往来</t>
  </si>
  <si>
    <r>
      <rPr>
        <b/>
        <sz val="11"/>
        <color theme="1"/>
        <rFont val="宋体"/>
        <charset val="134"/>
        <scheme val="minor"/>
      </rPr>
      <t>保险公司：经营负债</t>
    </r>
    <r>
      <rPr>
        <sz val="11"/>
        <color theme="1"/>
        <rFont val="宋体"/>
        <charset val="134"/>
        <scheme val="minor"/>
      </rPr>
      <t>（否则不适用）</t>
    </r>
  </si>
  <si>
    <t>内部应付款</t>
  </si>
  <si>
    <t>集团内部往来应付</t>
  </si>
  <si>
    <t>合并报表应抵消；单体口径要看：内部贸易（经营）vs 内部拆借（金融）</t>
  </si>
  <si>
    <t>预计流动负债</t>
  </si>
  <si>
    <t>预计负债中预计一年内需要偿付部分（或类似口径）</t>
  </si>
  <si>
    <t>取决于预计事项：质量保证/退货/诉讼（经营）vs 退役/环保等长期义务的当期部分（多仍经营）</t>
  </si>
  <si>
    <r>
      <rPr>
        <b/>
        <sz val="11"/>
        <color theme="1"/>
        <rFont val="宋体"/>
        <charset val="134"/>
        <scheme val="minor"/>
      </rPr>
      <t>通常经营负债</t>
    </r>
    <r>
      <rPr>
        <sz val="11"/>
        <color theme="1"/>
        <rFont val="宋体"/>
        <charset val="134"/>
        <scheme val="minor"/>
      </rPr>
      <t>（仍建议附注确认性质）</t>
    </r>
  </si>
  <si>
    <t>保险合同准备金</t>
  </si>
  <si>
    <t>保险合同相关准备金（保险业核心负债）</t>
  </si>
  <si>
    <t>保险主营负债</t>
  </si>
  <si>
    <t>代理买卖证券款</t>
  </si>
  <si>
    <t>客户交易结算形成的应付款（券商常见）</t>
  </si>
  <si>
    <t>对券商经纪业务是核心经营负债</t>
  </si>
  <si>
    <r>
      <rPr>
        <b/>
        <sz val="11"/>
        <color theme="1"/>
        <rFont val="宋体"/>
        <charset val="134"/>
        <scheme val="minor"/>
      </rPr>
      <t>券商：经营负债</t>
    </r>
    <r>
      <rPr>
        <sz val="11"/>
        <color theme="1"/>
        <rFont val="宋体"/>
        <charset val="134"/>
        <scheme val="minor"/>
      </rPr>
      <t>（非金融企业通常不适用）</t>
    </r>
  </si>
  <si>
    <t>代理承销证券款</t>
  </si>
  <si>
    <t>承销业务形成的应付款（券商投行业务）</t>
  </si>
  <si>
    <t>券商经营负债</t>
  </si>
  <si>
    <t>一年内的递延收益</t>
  </si>
  <si>
    <t>递延收益中一年内转入损益部分（政府补助等）</t>
  </si>
  <si>
    <t>多与经营相关（收益递延）；若与资产相关补助也常仍归经营，但建议看附注</t>
  </si>
  <si>
    <r>
      <rPr>
        <b/>
        <sz val="11"/>
        <color theme="1"/>
        <rFont val="宋体"/>
        <charset val="134"/>
        <scheme val="minor"/>
      </rPr>
      <t>通常经营负债</t>
    </r>
    <r>
      <rPr>
        <sz val="11"/>
        <color theme="1"/>
        <rFont val="宋体"/>
        <charset val="134"/>
        <scheme val="minor"/>
      </rPr>
      <t>（可能需附注确认补助性质）</t>
    </r>
  </si>
  <si>
    <t>以摊余成本计量的金融负债</t>
  </si>
  <si>
    <t>新准则下以摊余成本计量的金融负债（借款、应付债券等口径）</t>
  </si>
  <si>
    <t>典型计息融资负债</t>
  </si>
  <si>
    <t>应付短期债券</t>
  </si>
  <si>
    <t>期限较短的债务融资工具（短期融资券等）</t>
  </si>
  <si>
    <t>计息融资</t>
  </si>
  <si>
    <t>持有待售负债</t>
  </si>
  <si>
    <t>拟出售处置组中包含的负债</t>
  </si>
  <si>
    <t>看“底层是什么负债”：若是借款/债券/租赁→金融；若是经营应付类→经营；需看附注处置组构成</t>
  </si>
  <si>
    <t>一年内到期的非流动负债</t>
  </si>
  <si>
    <t>长期负债一年内到期部分（借款、债券、租赁、长期应付款等）</t>
  </si>
  <si>
    <r>
      <rPr>
        <sz val="11"/>
        <color theme="1"/>
        <rFont val="宋体"/>
        <charset val="134"/>
        <scheme val="minor"/>
      </rPr>
      <t>通常主要来自</t>
    </r>
    <r>
      <rPr>
        <b/>
        <sz val="11"/>
        <color theme="1"/>
        <rFont val="宋体"/>
        <charset val="134"/>
        <scheme val="minor"/>
      </rPr>
      <t>计息债务/租赁</t>
    </r>
    <r>
      <rPr>
        <sz val="11"/>
        <color theme="1"/>
        <rFont val="宋体"/>
        <charset val="134"/>
        <scheme val="minor"/>
      </rPr>
      <t>→金融；但若来自供应商长期应付款则可能偏经营，需看构成</t>
    </r>
  </si>
  <si>
    <r>
      <rPr>
        <b/>
        <sz val="11"/>
        <color theme="1"/>
        <rFont val="宋体"/>
        <charset val="134"/>
        <scheme val="minor"/>
      </rPr>
      <t>通常金融负债</t>
    </r>
    <r>
      <rPr>
        <sz val="11"/>
        <color theme="1"/>
        <rFont val="宋体"/>
        <charset val="134"/>
        <scheme val="minor"/>
      </rPr>
      <t>（建议附注拆分来源）</t>
    </r>
  </si>
  <si>
    <t>代理业务负债</t>
  </si>
  <si>
    <t>与代理业务相关的负债（金融机构常见）</t>
  </si>
  <si>
    <t>金融机构经营负债</t>
  </si>
  <si>
    <r>
      <rPr>
        <b/>
        <sz val="11"/>
        <color theme="1"/>
        <rFont val="宋体"/>
        <charset val="134"/>
        <scheme val="minor"/>
      </rPr>
      <t>金融机构：经营负债</t>
    </r>
    <r>
      <rPr>
        <sz val="11"/>
        <color theme="1"/>
        <rFont val="宋体"/>
        <charset val="134"/>
        <scheme val="minor"/>
      </rPr>
      <t>（非金融企业通常不适用）</t>
    </r>
  </si>
  <si>
    <t>其他流动负债</t>
  </si>
  <si>
    <t>杂项流动负债（应付费用、预提、待转销项税等，口径很杂）</t>
  </si>
  <si>
    <t>需要拆附注：多数是经营应计，但也可能夹杂短期融资性质项目</t>
  </si>
  <si>
    <r>
      <rPr>
        <b/>
        <sz val="11"/>
        <color theme="1"/>
        <rFont val="宋体"/>
        <charset val="134"/>
        <scheme val="minor"/>
      </rPr>
      <t>需结合附注具体分析</t>
    </r>
    <r>
      <rPr>
        <sz val="11"/>
        <color theme="1"/>
        <rFont val="宋体"/>
        <charset val="134"/>
        <scheme val="minor"/>
      </rPr>
      <t>（多数情形偏经营）</t>
    </r>
  </si>
  <si>
    <t>流动负债其他项目</t>
  </si>
  <si>
    <t>“其他”汇总行</t>
  </si>
  <si>
    <t>信息不足</t>
  </si>
  <si>
    <t>流动负债平衡项目</t>
  </si>
  <si>
    <t>数据/口径平衡行</t>
  </si>
  <si>
    <t>流动负债合计</t>
  </si>
  <si>
    <t>小计</t>
  </si>
  <si>
    <t>非流动负债</t>
  </si>
  <si>
    <t>长期借款</t>
  </si>
  <si>
    <t>一年以上到期的银行/其他借款</t>
  </si>
  <si>
    <t>以摊余成本计量的金融负债（非流动）</t>
  </si>
  <si>
    <t>非流动的摊余成本金融负债（多为长期借款/债券等）</t>
  </si>
  <si>
    <t>应付债券</t>
  </si>
  <si>
    <t>发行公司债、MTN、中票等形成的债务</t>
  </si>
  <si>
    <t>其中：优先股</t>
  </si>
  <si>
    <t>会计上若被分类为负债的优先股（取决于是否有强制赎回/强制付息等）</t>
  </si>
  <si>
    <r>
      <rPr>
        <b/>
        <sz val="11"/>
        <color theme="1"/>
        <rFont val="宋体"/>
        <charset val="134"/>
        <scheme val="minor"/>
      </rPr>
      <t>关键是合同条款</t>
    </r>
    <r>
      <rPr>
        <sz val="11"/>
        <color theme="1"/>
        <rFont val="宋体"/>
        <charset val="134"/>
        <scheme val="minor"/>
      </rPr>
      <t>：若强制付息/赎回→更像债；若更接近权益（可递延分派、无到期或永续）→估值重构时可能更像权益/类股权</t>
    </r>
  </si>
  <si>
    <r>
      <rPr>
        <b/>
        <sz val="11"/>
        <color theme="1"/>
        <rFont val="宋体"/>
        <charset val="134"/>
        <scheme val="minor"/>
      </rPr>
      <t>需结合附注具体分析</t>
    </r>
    <r>
      <rPr>
        <sz val="11"/>
        <color theme="1"/>
        <rFont val="宋体"/>
        <charset val="134"/>
        <scheme val="minor"/>
      </rPr>
      <t>（可能在重构中调整为“权益/类权益”）</t>
    </r>
  </si>
  <si>
    <t>其中：永续债</t>
  </si>
  <si>
    <t>永续债/永续中票（会计上分类为负债时）</t>
  </si>
  <si>
    <t>同上：看是否永续、是否可递延利息、是否有强制赎回等；估值中常单列处理</t>
  </si>
  <si>
    <r>
      <rPr>
        <b/>
        <sz val="11"/>
        <color theme="1"/>
        <rFont val="宋体"/>
        <charset val="134"/>
        <scheme val="minor"/>
      </rPr>
      <t>需结合附注具体分析</t>
    </r>
    <r>
      <rPr>
        <sz val="11"/>
        <color theme="1"/>
        <rFont val="宋体"/>
        <charset val="134"/>
        <scheme val="minor"/>
      </rPr>
      <t>（可能更像“类权益融资”）</t>
    </r>
  </si>
  <si>
    <t>租赁负债</t>
  </si>
  <si>
    <t>租赁确认的未来租金现值义务</t>
  </si>
  <si>
    <r>
      <rPr>
        <sz val="11"/>
        <color theme="1"/>
        <rFont val="宋体"/>
        <charset val="134"/>
        <scheme val="minor"/>
      </rPr>
      <t>本质是</t>
    </r>
    <r>
      <rPr>
        <b/>
        <sz val="11"/>
        <color theme="1"/>
        <rFont val="宋体"/>
        <charset val="134"/>
        <scheme val="minor"/>
      </rPr>
      <t>类债务</t>
    </r>
    <r>
      <rPr>
        <sz val="11"/>
        <color theme="1"/>
        <rFont val="宋体"/>
        <charset val="134"/>
        <scheme val="minor"/>
      </rPr>
      <t>（隐含融资），对应使用权资产</t>
    </r>
  </si>
  <si>
    <t>长期应付款（合计）</t>
  </si>
  <si>
    <t>一年以上应付款（设备分期、融资安排、长期往来等）</t>
  </si>
  <si>
    <r>
      <rPr>
        <sz val="11"/>
        <color theme="1"/>
        <rFont val="宋体"/>
        <charset val="134"/>
        <scheme val="minor"/>
      </rPr>
      <t>很容易“经营/金融混在一起”：若是</t>
    </r>
    <r>
      <rPr>
        <b/>
        <sz val="11"/>
        <color theme="1"/>
        <rFont val="宋体"/>
        <charset val="134"/>
        <scheme val="minor"/>
      </rPr>
      <t>供应商分期购置设备</t>
    </r>
    <r>
      <rPr>
        <sz val="11"/>
        <color theme="1"/>
        <rFont val="宋体"/>
        <charset val="134"/>
        <scheme val="minor"/>
      </rPr>
      <t>可能偏经营性信用；若本质是</t>
    </r>
    <r>
      <rPr>
        <b/>
        <sz val="11"/>
        <color theme="1"/>
        <rFont val="宋体"/>
        <charset val="134"/>
        <scheme val="minor"/>
      </rPr>
      <t>融资性应付款/保理/类借款</t>
    </r>
    <r>
      <rPr>
        <sz val="11"/>
        <color theme="1"/>
        <rFont val="宋体"/>
        <charset val="134"/>
        <scheme val="minor"/>
      </rPr>
      <t>则偏金融，需看利息、折现、合同条款</t>
    </r>
  </si>
  <si>
    <r>
      <rPr>
        <b/>
        <sz val="11"/>
        <color theme="1"/>
        <rFont val="宋体"/>
        <charset val="134"/>
        <scheme val="minor"/>
      </rPr>
      <t>需结合附注具体分析</t>
    </r>
    <r>
      <rPr>
        <sz val="11"/>
        <color theme="1"/>
        <rFont val="宋体"/>
        <charset val="134"/>
        <scheme val="minor"/>
      </rPr>
      <t>（不少公司最终应归金融）</t>
    </r>
  </si>
  <si>
    <t>其中：长期应付款</t>
  </si>
  <si>
    <t>上述合计中的明细</t>
  </si>
  <si>
    <t>同上</t>
  </si>
  <si>
    <t>其中：专项应付款</t>
  </si>
  <si>
    <t>特定用途款项（政府拨款需专款专用、项目资金等）</t>
  </si>
  <si>
    <t>可能更像递延收益/专项资金结算；通常不计息，偏经营性/项目性负债；需看是否需要返还、是否附条件</t>
  </si>
  <si>
    <r>
      <rPr>
        <b/>
        <sz val="11"/>
        <color theme="1"/>
        <rFont val="宋体"/>
        <charset val="134"/>
        <scheme val="minor"/>
      </rPr>
      <t>通常经营负债</t>
    </r>
    <r>
      <rPr>
        <sz val="11"/>
        <color theme="1"/>
        <rFont val="宋体"/>
        <charset val="134"/>
        <scheme val="minor"/>
      </rPr>
      <t>（建议附注确认性质与条件）</t>
    </r>
  </si>
  <si>
    <t>长期应付职工薪酬</t>
  </si>
  <si>
    <t>长期激励、补充养老、离职后福利等长期职工义务</t>
  </si>
  <si>
    <t>经营成本的长期应计</t>
  </si>
  <si>
    <t>预计负债</t>
  </si>
  <si>
    <t>或有事项满足确认条件后的负债（诉讼、担保、质保、退役义务等）</t>
  </si>
  <si>
    <t>多数与经营相关→经营负债；若是与融资担保/或债务重组强相关也可能更偏金融；需看预计事项性质</t>
  </si>
  <si>
    <r>
      <rPr>
        <b/>
        <sz val="11"/>
        <color theme="1"/>
        <rFont val="宋体"/>
        <charset val="134"/>
        <scheme val="minor"/>
      </rPr>
      <t>通常经营负债</t>
    </r>
    <r>
      <rPr>
        <sz val="11"/>
        <color theme="1"/>
        <rFont val="宋体"/>
        <charset val="134"/>
        <scheme val="minor"/>
      </rPr>
      <t>（但建议附注确认）</t>
    </r>
  </si>
  <si>
    <t>递延收益</t>
  </si>
  <si>
    <t>政府补助递延、递延收入等</t>
  </si>
  <si>
    <t>多与经营活动/资产相关补助有关，通常归经营；需看附注“与收益相关/与资产相关”</t>
  </si>
  <si>
    <r>
      <rPr>
        <b/>
        <sz val="11"/>
        <color theme="1"/>
        <rFont val="宋体"/>
        <charset val="134"/>
        <scheme val="minor"/>
      </rPr>
      <t>通常经营负债</t>
    </r>
    <r>
      <rPr>
        <sz val="11"/>
        <color theme="1"/>
        <rFont val="宋体"/>
        <charset val="134"/>
        <scheme val="minor"/>
      </rPr>
      <t>（可能需附注）</t>
    </r>
  </si>
  <si>
    <t>递延所得税负债</t>
  </si>
  <si>
    <t>暂时性差异导致未来应纳税额</t>
  </si>
  <si>
    <t>Penman 重构里通常作为经营税项的一部分（不属于融资）</t>
  </si>
  <si>
    <t>其他非流动负债</t>
  </si>
  <si>
    <t>口径很杂：长期保证金、长期递延款、长期应付费用、或夹杂融资工具等</t>
  </si>
  <si>
    <t>必须拆附注明细才能定性</t>
  </si>
  <si>
    <t>非流动负债其他项目</t>
  </si>
  <si>
    <t>非流动负债平衡项目</t>
  </si>
  <si>
    <t>非流动负债合计</t>
  </si>
  <si>
    <t>负债其他项目</t>
  </si>
  <si>
    <t>其他负债汇总行</t>
  </si>
  <si>
    <t>负债平衡项目</t>
  </si>
  <si>
    <t>负债合计</t>
  </si>
  <si>
    <t>所有者权益</t>
  </si>
  <si>
    <t>营业总收入(元)</t>
  </si>
  <si>
    <t>　营业收入(元)</t>
  </si>
  <si>
    <t>　利息收入(元)</t>
  </si>
  <si>
    <t>　已赚保费(元)</t>
  </si>
  <si>
    <t>　手续费及佣金收入(元)</t>
  </si>
  <si>
    <t>　其他业务收入(元)</t>
  </si>
  <si>
    <t>　营业总收入其他项目(元)</t>
  </si>
  <si>
    <t>营业总成本(元)</t>
  </si>
  <si>
    <t>　营业成本(元)</t>
  </si>
  <si>
    <t>　利息支出(元)</t>
  </si>
  <si>
    <t>　手续费及佣金支出(元)</t>
  </si>
  <si>
    <t>　退保金(元)</t>
  </si>
  <si>
    <t>　赔付支出净额(元)</t>
  </si>
  <si>
    <t>　提取保险合同准备金净额(元)</t>
  </si>
  <si>
    <t>　保单红利支出(元)</t>
  </si>
  <si>
    <t>　分保费用(元)</t>
  </si>
  <si>
    <t>　其他业务成本(元)</t>
  </si>
  <si>
    <t>　税金及附加(元)</t>
  </si>
  <si>
    <t>　销售费用(元)</t>
  </si>
  <si>
    <t>　管理费用(元)</t>
  </si>
  <si>
    <t>　研发费用(元)</t>
  </si>
  <si>
    <t>　财务费用(元)</t>
  </si>
  <si>
    <t>　其中：利息费用(元)</t>
  </si>
  <si>
    <t>　　　　减：利息收入(元)</t>
  </si>
  <si>
    <t>　资产减值损失(元)</t>
  </si>
  <si>
    <t>　信用减值损失(元)</t>
  </si>
  <si>
    <t>　营业总成本其他项目(元)</t>
  </si>
  <si>
    <t>其他经营收益</t>
  </si>
  <si>
    <t>　加：其他收益(元)</t>
  </si>
  <si>
    <t>　　　投资收益(元)</t>
  </si>
  <si>
    <t>　　　其中：对联营企业和合营企业的投资收益(元)</t>
  </si>
  <si>
    <t>　　　　　　以摊余成本计量的金融资产终止确认收益(元)</t>
  </si>
  <si>
    <t>　　　汇兑收益(元)</t>
  </si>
  <si>
    <t>　　　净敞口套期收益(元)</t>
  </si>
  <si>
    <t>　　　公允价值变动收益(元)</t>
  </si>
  <si>
    <t>　　　信用减值损失(新)(元)</t>
  </si>
  <si>
    <t>　　　资产减值损失(新)(元)</t>
  </si>
  <si>
    <t>　　　资产处置收益(元)</t>
  </si>
  <si>
    <t>　加：营业利润其他项目(元)</t>
  </si>
  <si>
    <t>　　　营业利润平衡项目(元)</t>
  </si>
  <si>
    <t>营业利润(元)</t>
  </si>
  <si>
    <t>　加：营业外收入(元)</t>
  </si>
  <si>
    <t>　　　其中：非流动资产处置利得(元)</t>
  </si>
  <si>
    <t>　减：营业外支出(元)</t>
  </si>
  <si>
    <t>　　　其中：非流动资产处置净损失(元)</t>
  </si>
  <si>
    <t>　加：影响利润总额的其他项目(元)</t>
  </si>
  <si>
    <t>　　　利润总额平衡项目(元)</t>
  </si>
  <si>
    <t>利润总额(元)</t>
  </si>
  <si>
    <t>　减：所得税费用(元)</t>
  </si>
  <si>
    <t>　加：未确认投资损失(元)</t>
  </si>
  <si>
    <t>　加：影响净利润的其他项目(元)</t>
  </si>
  <si>
    <t>净利润(元)</t>
  </si>
  <si>
    <t>　其中：被合并方在合并前实现利润(元)</t>
  </si>
  <si>
    <t>　(一)按经营持续性分类</t>
  </si>
  <si>
    <t>　持续经营净利润(元)</t>
  </si>
  <si>
    <t>　终止经营净利润(元)</t>
  </si>
  <si>
    <t>　(二)按所有权归属分类</t>
  </si>
  <si>
    <t>　归属于母公司股东的净利润(元)</t>
  </si>
  <si>
    <t>　少数股东损益(元)</t>
  </si>
  <si>
    <t>　扣除非经常性损益后的净利润(元)</t>
  </si>
  <si>
    <t>　净利润其他项目(元)</t>
  </si>
  <si>
    <t>　净利润差额(合计平衡项目)(元)</t>
  </si>
  <si>
    <t>其他综合收益(元)</t>
  </si>
  <si>
    <t>　归属于母公司股东的其他综合收益(元)</t>
  </si>
  <si>
    <t>　归属于少数股东的其他综合收益(元)</t>
  </si>
  <si>
    <t>综合收益总额(元)</t>
  </si>
  <si>
    <t>　归属于母公司股东的综合收益总额(元)</t>
  </si>
  <si>
    <t>　归属于少数股东的综合收益总额(元)</t>
  </si>
  <si>
    <t>每股收益</t>
  </si>
  <si>
    <t>　(一)基本每股收益(元)</t>
  </si>
  <si>
    <t>　(二)稀释每股收益(元)</t>
  </si>
  <si>
    <t>数据来源：妙想Choice</t>
  </si>
  <si>
    <t>说明</t>
  </si>
  <si>
    <t>2024A</t>
  </si>
  <si>
    <t>2023A</t>
  </si>
  <si>
    <t>2022A</t>
  </si>
  <si>
    <t>2021A</t>
  </si>
  <si>
    <t>2020A</t>
  </si>
  <si>
    <t>2019A</t>
  </si>
  <si>
    <t>2018A</t>
  </si>
  <si>
    <t>2017A</t>
  </si>
  <si>
    <t>2016A</t>
  </si>
  <si>
    <t>法定所得税率 (t)</t>
  </si>
  <si>
    <t>一般为 25%，高新企业 15%。用于计算税盾。</t>
  </si>
  <si>
    <t>报表净利润</t>
  </si>
  <si>
    <t>用于最后核对是否配平。</t>
  </si>
  <si>
    <t>报表所得税</t>
  </si>
  <si>
    <t>计算税前净金融费用</t>
  </si>
  <si>
    <t>行号</t>
  </si>
  <si>
    <t>项目</t>
  </si>
  <si>
    <t>Penman 逻辑</t>
  </si>
  <si>
    <t>金融利息支出</t>
  </si>
  <si>
    <t>借钱的成本。</t>
  </si>
  <si>
    <t>(减) 金融利息收入</t>
  </si>
  <si>
    <t>存款/理财的收益。</t>
  </si>
  <si>
    <t>(减) 金融投资收益</t>
  </si>
  <si>
    <r>
      <t>假设</t>
    </r>
    <r>
      <rPr>
        <sz val="10.5"/>
        <color rgb="FF1A1C1E"/>
        <rFont val="Arial"/>
        <charset val="134"/>
      </rPr>
      <t>：除了联营合营外，其他都是炒股收益。</t>
    </r>
  </si>
  <si>
    <t>(减) 公允价值变动</t>
  </si>
  <si>
    <r>
      <t>假设</t>
    </r>
    <r>
      <rPr>
        <sz val="10.5"/>
        <color rgb="FF1A1C1E"/>
        <rFont val="Arial"/>
        <charset val="134"/>
      </rPr>
      <t>：默认全是理财产品的波动。</t>
    </r>
  </si>
  <si>
    <r>
      <t>税前净金融费用</t>
    </r>
    <r>
      <rPr>
        <b/>
        <sz val="10.5"/>
        <color rgb="FF1A1C1E"/>
        <rFont val="Arial"/>
        <charset val="134"/>
      </rPr>
      <t xml:space="preserve"> (Net Interest)</t>
    </r>
  </si>
  <si>
    <t>如果结果是负数，说明公司靠炒股赚的比借钱利息还多。</t>
  </si>
  <si>
    <t>计算“税盾”与“经营所得税”</t>
  </si>
  <si>
    <t>利息税盾</t>
  </si>
  <si>
    <r>
      <t>只有净金融费用产生税盾。</t>
    </r>
    <r>
      <rPr>
        <i/>
        <sz val="10.5"/>
        <color rgb="FF1A1C1E"/>
        <rFont val="Arial"/>
        <charset val="134"/>
      </rPr>
      <t>(若 B14 为负，则产生税务负担)</t>
    </r>
  </si>
  <si>
    <t>经营活动所得税</t>
  </si>
  <si>
    <t>报表税费 + 税盾 = 经营本身该交的税。</t>
  </si>
  <si>
    <r>
      <t>重构核心指标</t>
    </r>
    <r>
      <rPr>
        <b/>
        <sz val="10.5"/>
        <color rgb="FF1A1C1E"/>
        <rFont val="Arial"/>
        <charset val="134"/>
      </rPr>
      <t xml:space="preserve"> (NOPAT &amp; NFE)</t>
    </r>
  </si>
  <si>
    <t>税前经营利润</t>
  </si>
  <si>
    <t>利润总额把金融费用加回去，就是经营利润。</t>
  </si>
  <si>
    <t>(减) 经营活动所得税</t>
  </si>
  <si>
    <t>减去还原后的经营税负。</t>
  </si>
  <si>
    <t>税后净经营利润 (NOPAT)</t>
  </si>
  <si>
    <r>
      <t>【核心产出 1】</t>
    </r>
    <r>
      <rPr>
        <sz val="10.5"/>
        <color rgb="FF1A1C1E"/>
        <rFont val="Arial"/>
        <charset val="134"/>
      </rPr>
      <t> 企业的真实造血能力。</t>
    </r>
  </si>
  <si>
    <t>税前净金融费用</t>
  </si>
  <si>
    <t>同行 14。</t>
  </si>
  <si>
    <t>(减) 利息税盾</t>
  </si>
  <si>
    <t>税盾抵消了一部分利息成本。</t>
  </si>
  <si>
    <t>税后净金融费用 (NFE)</t>
  </si>
  <si>
    <r>
      <t>【核心产出 2】</t>
    </r>
    <r>
      <rPr>
        <sz val="10.5"/>
        <color rgb="FF1A1C1E"/>
        <rFont val="Arial"/>
        <charset val="134"/>
      </rPr>
      <t> 企业的真实融资成本。</t>
    </r>
  </si>
  <si>
    <t>综合收益核对</t>
  </si>
  <si>
    <t>重构净利润</t>
  </si>
  <si>
    <t>NOPAT - NFE 应该等于净利润。</t>
  </si>
  <si>
    <t>配平误差</t>
  </si>
  <si>
    <r>
      <t>必须为 0</t>
    </r>
    <r>
      <rPr>
        <sz val="10.5"/>
        <color rgb="FF1A1C1E"/>
        <rFont val="Arial"/>
        <charset val="134"/>
      </rPr>
      <t>。如果不为 0，检查公式。</t>
    </r>
  </si>
  <si>
    <t>其他综合收益(OCI)</t>
  </si>
  <si>
    <t>综合收益总额</t>
  </si>
  <si>
    <t>估值的真正起点。</t>
  </si>
  <si>
    <t>比率计算</t>
  </si>
  <si>
    <t>分类</t>
  </si>
  <si>
    <t>2025年三季报</t>
  </si>
  <si>
    <t>O</t>
  </si>
  <si>
    <t>F</t>
  </si>
  <si>
    <r>
      <t>　　　　　　以摊余成本计量的金融资产终止确认收益</t>
    </r>
    <r>
      <rPr>
        <sz val="10"/>
        <color rgb="FFFF0000"/>
        <rFont val="Arial"/>
        <charset val="134"/>
      </rPr>
      <t>(</t>
    </r>
    <r>
      <rPr>
        <sz val="10"/>
        <color rgb="FFFF0000"/>
        <rFont val="宋体"/>
        <charset val="134"/>
      </rPr>
      <t>元</t>
    </r>
    <r>
      <rPr>
        <sz val="10"/>
        <color rgb="FFFF0000"/>
        <rFont val="Arial"/>
        <charset val="134"/>
      </rPr>
      <t>)</t>
    </r>
  </si>
  <si>
    <r>
      <t>　　　公允价值变动收益</t>
    </r>
    <r>
      <rPr>
        <sz val="10"/>
        <color rgb="FFFF0000"/>
        <rFont val="Arial"/>
        <charset val="134"/>
      </rPr>
      <t>(</t>
    </r>
    <r>
      <rPr>
        <sz val="10"/>
        <color rgb="FFFF0000"/>
        <rFont val="宋体"/>
        <charset val="134"/>
      </rPr>
      <t>元</t>
    </r>
    <r>
      <rPr>
        <sz val="10"/>
        <color rgb="FFFF0000"/>
        <rFont val="Arial"/>
        <charset val="134"/>
      </rPr>
      <t>)</t>
    </r>
  </si>
  <si>
    <r>
      <t>F(</t>
    </r>
    <r>
      <rPr>
        <sz val="10"/>
        <color theme="1"/>
        <rFont val="宋体"/>
        <charset val="134"/>
      </rPr>
      <t>拆分）</t>
    </r>
  </si>
  <si>
    <t>Tax</t>
  </si>
  <si>
    <r>
      <t>其他综合收益</t>
    </r>
    <r>
      <rPr>
        <b/>
        <sz val="10"/>
        <color rgb="FFFF0000"/>
        <rFont val="Arial"/>
        <charset val="134"/>
      </rPr>
      <t>(</t>
    </r>
    <r>
      <rPr>
        <b/>
        <sz val="10"/>
        <color rgb="FFFF0000"/>
        <rFont val="宋体"/>
        <charset val="134"/>
      </rPr>
      <t>元</t>
    </r>
    <r>
      <rPr>
        <b/>
        <sz val="10"/>
        <color rgb="FFFF0000"/>
        <rFont val="Arial"/>
        <charset val="134"/>
      </rPr>
      <t>)</t>
    </r>
  </si>
  <si>
    <t>拆分</t>
  </si>
  <si>
    <t>2025-10-30</t>
  </si>
  <si>
    <t>三季度报告</t>
  </si>
  <si>
    <t>-</t>
  </si>
  <si>
    <t>核心驱动分析</t>
  </si>
  <si>
    <r>
      <t>项目</t>
    </r>
    <r>
      <rPr>
        <sz val="10.5"/>
        <color rgb="FF1A1C1E"/>
        <rFont val="Arial"/>
        <charset val="134"/>
      </rPr>
      <t xml:space="preserve"> (Item)</t>
    </r>
  </si>
  <si>
    <t>Excel 计算公式逻辑</t>
  </si>
  <si>
    <t>数据计算</t>
  </si>
  <si>
    <t>Penman 深度解读</t>
  </si>
  <si>
    <t>A</t>
  </si>
  <si>
    <t>基础数据引用</t>
  </si>
  <si>
    <t>营业收入</t>
  </si>
  <si>
    <t>分母基数。</t>
  </si>
  <si>
    <r>
      <t>税后净经营利润</t>
    </r>
    <r>
      <rPr>
        <sz val="10.5"/>
        <color rgb="FF1A1C1E"/>
        <rFont val="Arial"/>
        <charset val="134"/>
      </rPr>
      <t xml:space="preserve"> (NOPAT)</t>
    </r>
  </si>
  <si>
    <t>核心造血成果。</t>
  </si>
  <si>
    <r>
      <t>税后净金融费用</t>
    </r>
    <r>
      <rPr>
        <sz val="10.5"/>
        <color rgb="FF1A1C1E"/>
        <rFont val="Arial"/>
        <charset val="134"/>
      </rPr>
      <t xml:space="preserve"> (NFE)</t>
    </r>
  </si>
  <si>
    <t>债务融资成本。</t>
  </si>
  <si>
    <r>
      <t>平均净经营资产</t>
    </r>
    <r>
      <rPr>
        <sz val="10.5"/>
        <color rgb="FF1A1C1E"/>
        <rFont val="Arial"/>
        <charset val="134"/>
      </rPr>
      <t xml:space="preserve"> (Avg. NOA)</t>
    </r>
  </si>
  <si>
    <r>
      <t>注意</t>
    </r>
    <r>
      <rPr>
        <sz val="10.5"/>
        <color rgb="FF1A1C1E"/>
        <rFont val="Arial"/>
        <charset val="134"/>
      </rPr>
      <t>：流量/存量比率，分母必须用</t>
    </r>
    <r>
      <rPr>
        <b/>
        <sz val="10.5"/>
        <color rgb="FF1A1C1E"/>
        <rFont val="Arial"/>
        <charset val="134"/>
      </rPr>
      <t>平均值</t>
    </r>
    <r>
      <rPr>
        <sz val="10.5"/>
        <color rgb="FF1A1C1E"/>
        <rFont val="Arial"/>
        <charset val="134"/>
      </rPr>
      <t>！</t>
    </r>
  </si>
  <si>
    <r>
      <t>平均净金融负债</t>
    </r>
    <r>
      <rPr>
        <sz val="10.5"/>
        <color rgb="FF1A1C1E"/>
        <rFont val="Arial"/>
        <charset val="134"/>
      </rPr>
      <t xml:space="preserve"> (Avg. NFO)</t>
    </r>
  </si>
  <si>
    <t>同上。</t>
  </si>
  <si>
    <r>
      <t>平均股东权益</t>
    </r>
    <r>
      <rPr>
        <sz val="10.5"/>
        <color rgb="FF1A1C1E"/>
        <rFont val="Arial"/>
        <charset val="134"/>
      </rPr>
      <t xml:space="preserve"> (Avg. CSE)</t>
    </r>
  </si>
  <si>
    <t>B</t>
  </si>
  <si>
    <r>
      <t>获利能力指标</t>
    </r>
    <r>
      <rPr>
        <sz val="10.5"/>
        <color rgb="FF1A1C1E"/>
        <rFont val="Arial"/>
        <charset val="134"/>
      </rPr>
      <t xml:space="preserve"> (Profitability)</t>
    </r>
  </si>
  <si>
    <r>
      <t>RNOA (</t>
    </r>
    <r>
      <rPr>
        <sz val="10.5"/>
        <color rgb="FF1A1C1E"/>
        <rFont val="宋体"/>
        <charset val="134"/>
      </rPr>
      <t>净经营资产回报率</t>
    </r>
    <r>
      <rPr>
        <sz val="10.5"/>
        <color rgb="FF1A1C1E"/>
        <rFont val="Arial"/>
        <charset val="134"/>
      </rPr>
      <t>)</t>
    </r>
  </si>
  <si>
    <r>
      <t>【皇冠上的明珠】</t>
    </r>
    <r>
      <rPr>
        <sz val="10.5"/>
        <color rgb="FF1A1C1E"/>
        <rFont val="Arial"/>
        <charset val="134"/>
      </rPr>
      <t>&lt;br&gt;衡量企业“印钞机”的效率。&lt;br&gt;</t>
    </r>
    <r>
      <rPr>
        <i/>
        <sz val="10.5"/>
        <color rgb="FF1A1C1E"/>
        <rFont val="Arial"/>
        <charset val="134"/>
      </rPr>
      <t>优秀标准：&gt;15% (且高于加权平均资本成本)</t>
    </r>
  </si>
  <si>
    <r>
      <t>NBC (</t>
    </r>
    <r>
      <rPr>
        <sz val="10.5"/>
        <color rgb="FF1A1C1E"/>
        <rFont val="宋体"/>
        <charset val="134"/>
      </rPr>
      <t>净借款成本率</t>
    </r>
    <r>
      <rPr>
        <sz val="10.5"/>
        <color rgb="FF1A1C1E"/>
        <rFont val="Arial"/>
        <charset val="134"/>
      </rPr>
      <t>)</t>
    </r>
  </si>
  <si>
    <r>
      <t>【融资底线】</t>
    </r>
    <r>
      <rPr>
        <sz val="10.5"/>
        <color rgb="FF1A1C1E"/>
        <rFont val="Arial"/>
        <charset val="134"/>
      </rPr>
      <t>&lt;br&gt;衡量借钱的税后成本。&lt;br&gt;</t>
    </r>
    <r>
      <rPr>
        <i/>
        <sz val="10.5"/>
        <color rgb="FF1A1C1E"/>
        <rFont val="Arial"/>
        <charset val="134"/>
      </rPr>
      <t>看点</t>
    </r>
    <r>
      <rPr>
        <sz val="10.5"/>
        <color rgb="FF1A1C1E"/>
        <rFont val="Arial"/>
        <charset val="134"/>
      </rPr>
      <t>：如果 RNOA &gt; NBC，说明借钱能放大收益；反之则会亏得更惨。</t>
    </r>
  </si>
  <si>
    <r>
      <t>ROE (</t>
    </r>
    <r>
      <rPr>
        <sz val="10.5"/>
        <color rgb="FF1A1C1E"/>
        <rFont val="宋体"/>
        <charset val="134"/>
      </rPr>
      <t>重构后</t>
    </r>
    <r>
      <rPr>
        <sz val="10.5"/>
        <color rgb="FF1A1C1E"/>
        <rFont val="Arial"/>
        <charset val="134"/>
      </rPr>
      <t>)</t>
    </r>
  </si>
  <si>
    <r>
      <t>【杠杆效应公式】</t>
    </r>
    <r>
      <rPr>
        <sz val="10.5"/>
        <color rgb="FF1A1C1E"/>
        <rFont val="Arial"/>
        <charset val="134"/>
      </rPr>
      <t>&lt;br&gt;这是 Penman 最经典的恒等式。&lt;br&gt;它告诉你：ROE 高是因为业务好 (RNOA)，还是因为敢借钱 (Leverage)？</t>
    </r>
  </si>
  <si>
    <t>C</t>
  </si>
  <si>
    <r>
      <t>驱动因素分解</t>
    </r>
    <r>
      <rPr>
        <sz val="10.5"/>
        <color rgb="FF1A1C1E"/>
        <rFont val="Arial"/>
        <charset val="134"/>
      </rPr>
      <t xml:space="preserve"> (DuPont Breakdown)</t>
    </r>
  </si>
  <si>
    <r>
      <t>经营利润率</t>
    </r>
    <r>
      <rPr>
        <sz val="10.5"/>
        <color rgb="FF1A1C1E"/>
        <rFont val="Arial"/>
        <charset val="134"/>
      </rPr>
      <t xml:space="preserve"> (PM)</t>
    </r>
  </si>
  <si>
    <r>
      <t>【卖得贵不贵？】</t>
    </r>
    <r>
      <rPr>
        <sz val="10.5"/>
        <color rgb="FF1A1C1E"/>
        <rFont val="Arial"/>
        <charset val="134"/>
      </rPr>
      <t>&lt;br&gt;反映产品定价权和成本控制力。&lt;br&gt;</t>
    </r>
    <r>
      <rPr>
        <i/>
        <sz val="10.5"/>
        <color rgb="FF1A1C1E"/>
        <rFont val="Arial"/>
        <charset val="134"/>
      </rPr>
      <t>茅台模式：高 PM，低 ATO</t>
    </r>
  </si>
  <si>
    <r>
      <t>资产周转率</t>
    </r>
    <r>
      <rPr>
        <sz val="10.5"/>
        <color rgb="FF1A1C1E"/>
        <rFont val="Arial"/>
        <charset val="134"/>
      </rPr>
      <t xml:space="preserve"> (ATO)</t>
    </r>
  </si>
  <si>
    <r>
      <t>【卖得快不快？】</t>
    </r>
    <r>
      <rPr>
        <sz val="10.5"/>
        <color rgb="FF1A1C1E"/>
        <rFont val="Arial"/>
        <charset val="134"/>
      </rPr>
      <t>&lt;br&gt;反映资产管理效率。&lt;br&gt;</t>
    </r>
    <r>
      <rPr>
        <i/>
        <sz val="10.5"/>
        <color rgb="FF1A1C1E"/>
        <rFont val="Arial"/>
        <charset val="134"/>
      </rPr>
      <t>沃尔玛模式：低 PM，高 ATO</t>
    </r>
  </si>
  <si>
    <r>
      <t>验证</t>
    </r>
    <r>
      <rPr>
        <i/>
        <sz val="10.5"/>
        <color rgb="FF1A1C1E"/>
        <rFont val="Arial"/>
        <charset val="134"/>
      </rPr>
      <t xml:space="preserve"> RNOA</t>
    </r>
  </si>
  <si>
    <t>必须等于行 7 的结果。</t>
  </si>
  <si>
    <t>杠杆与风险分析 (Leverage &amp; Risk)</t>
  </si>
  <si>
    <t>D</t>
  </si>
  <si>
    <r>
      <t>杠杆比率</t>
    </r>
    <r>
      <rPr>
        <sz val="10.5"/>
        <color rgb="FF1A1C1E"/>
        <rFont val="Arial"/>
        <charset val="134"/>
      </rPr>
      <t xml:space="preserve"> (Leverage Ratios)</t>
    </r>
  </si>
  <si>
    <r>
      <t>金融杠杆</t>
    </r>
    <r>
      <rPr>
        <sz val="10.5"/>
        <color rgb="FF1A1C1E"/>
        <rFont val="Arial"/>
        <charset val="134"/>
      </rPr>
      <t xml:space="preserve"> (FLEV)</t>
    </r>
  </si>
  <si>
    <r>
      <t>【敢不敢借钱】</t>
    </r>
    <r>
      <rPr>
        <sz val="10.5"/>
        <color rgb="FF1A1C1E"/>
        <rFont val="Arial"/>
        <charset val="134"/>
      </rPr>
      <t>&lt;br&gt;也就是净负债率。FLEV 越高，ROE 波动越剧烈（风险越大）。</t>
    </r>
  </si>
  <si>
    <r>
      <t>经营负债杠杆</t>
    </r>
    <r>
      <rPr>
        <sz val="10.5"/>
        <color rgb="FF1A1C1E"/>
        <rFont val="Arial"/>
        <charset val="134"/>
      </rPr>
      <t xml:space="preserve"> (OLLEV)</t>
    </r>
  </si>
  <si>
    <r>
      <t>【能不能占用上下游资金】</t>
    </r>
    <r>
      <rPr>
        <sz val="10.5"/>
        <color rgb="FF1A1C1E"/>
        <rFont val="Arial"/>
        <charset val="134"/>
      </rPr>
      <t>&lt;br&gt;这是 Penman 特有的指标。&lt;br&gt;</t>
    </r>
    <r>
      <rPr>
        <i/>
        <sz val="10.5"/>
        <color rgb="FF1A1C1E"/>
        <rFont val="Arial"/>
        <charset val="134"/>
      </rPr>
      <t>公式含义</t>
    </r>
    <r>
      <rPr>
        <sz val="10.5"/>
        <color rgb="FF1A1C1E"/>
        <rFont val="Arial"/>
        <charset val="134"/>
      </rPr>
      <t>：经营资产里有多少是供应商“免费”赞助的？&lt;br&gt;</t>
    </r>
    <r>
      <rPr>
        <i/>
        <sz val="10.5"/>
        <color rgb="FF1A1C1E"/>
        <rFont val="Arial"/>
        <charset val="134"/>
      </rPr>
      <t>解读</t>
    </r>
    <r>
      <rPr>
        <sz val="10.5"/>
        <color rgb="FF1A1C1E"/>
        <rFont val="Arial"/>
        <charset val="134"/>
      </rPr>
      <t>：越高越好（如戴尔、亚马逊），说明资金占用能力极强。</t>
    </r>
  </si>
  <si>
    <t>E</t>
  </si>
  <si>
    <r>
      <t>流动性与结构</t>
    </r>
    <r>
      <rPr>
        <sz val="10.5"/>
        <color rgb="FF1A1C1E"/>
        <rFont val="Arial"/>
        <charset val="134"/>
      </rPr>
      <t xml:space="preserve"> (Structure)</t>
    </r>
  </si>
  <si>
    <t>现金含量</t>
  </si>
  <si>
    <t>验证 Input 页的假设是否合理。</t>
  </si>
  <si>
    <t>核心资产占比</t>
  </si>
  <si>
    <t>越高说明越重资产，转型越难。</t>
  </si>
  <si>
    <r>
      <t>项目</t>
    </r>
    <r>
      <rPr>
        <sz val="10.5"/>
        <color theme="1"/>
        <rFont val="Arial"/>
        <charset val="134"/>
      </rPr>
      <t xml:space="preserve"> (Item)</t>
    </r>
  </si>
  <si>
    <r>
      <t>剩余经营收益</t>
    </r>
    <r>
      <rPr>
        <sz val="10.5"/>
        <color theme="1"/>
        <rFont val="Arial"/>
        <charset val="134"/>
      </rPr>
      <t xml:space="preserve"> (ReOI)</t>
    </r>
  </si>
  <si>
    <r>
      <t>本期</t>
    </r>
    <r>
      <rPr>
        <sz val="10.5"/>
        <color theme="1"/>
        <rFont val="Arial"/>
        <charset val="134"/>
      </rPr>
      <t xml:space="preserve"> NOPAT</t>
    </r>
  </si>
  <si>
    <t>实际赚的钱。</t>
  </si>
  <si>
    <r>
      <t>期初</t>
    </r>
    <r>
      <rPr>
        <sz val="10.5"/>
        <color theme="1"/>
        <rFont val="Arial"/>
        <charset val="134"/>
      </rPr>
      <t xml:space="preserve"> NOA</t>
    </r>
  </si>
  <si>
    <r>
      <t>注意</t>
    </r>
    <r>
      <rPr>
        <sz val="10.5"/>
        <color theme="1"/>
        <rFont val="Arial"/>
        <charset val="134"/>
      </rPr>
      <t>：这里用</t>
    </r>
    <r>
      <rPr>
        <b/>
        <sz val="10.5"/>
        <color theme="1"/>
        <rFont val="Arial"/>
        <charset val="134"/>
      </rPr>
      <t>期初</t>
    </r>
    <r>
      <rPr>
        <sz val="10.5"/>
        <color theme="1"/>
        <rFont val="Arial"/>
        <charset val="134"/>
      </rPr>
      <t>数，不是平均数。因为是期初投入的资本在这一年产生的回报。</t>
    </r>
  </si>
  <si>
    <r>
      <t>要求回报率</t>
    </r>
    <r>
      <rPr>
        <sz val="10.5"/>
        <color theme="1"/>
        <rFont val="Arial"/>
        <charset val="134"/>
      </rPr>
      <t xml:space="preserve"> </t>
    </r>
  </si>
  <si>
    <t>输入假设值 (如 10%)</t>
  </si>
  <si>
    <t>资本的租金。</t>
  </si>
  <si>
    <r>
      <t>资本成本</t>
    </r>
    <r>
      <rPr>
        <sz val="10.5"/>
        <color theme="1"/>
        <rFont val="Arial"/>
        <charset val="134"/>
      </rPr>
      <t xml:space="preserve"> (Capital Charge)</t>
    </r>
  </si>
  <si>
    <t>你理应赚到的钱（及格线）。</t>
  </si>
  <si>
    <r>
      <t>【估值圣杯】</t>
    </r>
    <r>
      <rPr>
        <sz val="10.5"/>
        <color theme="1"/>
        <rFont val="Arial"/>
        <charset val="134"/>
      </rPr>
      <t>&lt;br&gt;</t>
    </r>
    <r>
      <rPr>
        <i/>
        <sz val="10.5"/>
        <color theme="1"/>
        <rFont val="Arial"/>
        <charset val="134"/>
      </rPr>
      <t>正数</t>
    </r>
    <r>
      <rPr>
        <sz val="10.5"/>
        <color theme="1"/>
        <rFont val="Arial"/>
        <charset val="134"/>
      </rPr>
      <t>：创造价值（股价应高于净资产）。&lt;br&gt;</t>
    </r>
    <r>
      <rPr>
        <i/>
        <sz val="10.5"/>
        <color theme="1"/>
        <rFont val="Arial"/>
        <charset val="134"/>
      </rPr>
      <t>负数</t>
    </r>
    <r>
      <rPr>
        <sz val="10.5"/>
        <color theme="1"/>
        <rFont val="Arial"/>
        <charset val="134"/>
      </rPr>
      <t>：毁灭价值（股价应低于净资产）。&lt;br&gt;</t>
    </r>
    <r>
      <rPr>
        <i/>
        <sz val="10.5"/>
        <color theme="1"/>
        <rFont val="Arial"/>
        <charset val="134"/>
      </rPr>
      <t>零</t>
    </r>
    <r>
      <rPr>
        <sz val="10.5"/>
        <color theme="1"/>
        <rFont val="Arial"/>
        <charset val="134"/>
      </rPr>
      <t>：平庸公司。</t>
    </r>
  </si>
  <si>
    <t>共同比与趋势分析 (Common-Size &amp; Trend)</t>
  </si>
  <si>
    <t>毛利率：(营业收入-营业成本)/收入</t>
  </si>
  <si>
    <t>销管费率 (SG&amp;A %)：(销售费用+管理费用)/收入。看管理效率。</t>
  </si>
  <si>
    <t>核心利润率：税前经营利润 / 收入。</t>
  </si>
  <si>
    <t>存货占比：存货 / NOA。如果逐年上升，警惕滞销。</t>
  </si>
  <si>
    <t>应收占比：应收账款 / NOA。如果逐年上升，警惕为了冲业绩放宽信用。</t>
  </si>
  <si>
    <t>上市前</t>
  </si>
  <si>
    <t>经营活动产生的现金流量：</t>
  </si>
  <si>
    <t>　销售商品、提供劳务收到的现金(元)</t>
  </si>
  <si>
    <t>　客户存款和同业存放款项净增加额(元)</t>
  </si>
  <si>
    <t>　向中央银行借款净增加额(元)</t>
  </si>
  <si>
    <t>　向其他金融机构拆入资金净增加额(元)</t>
  </si>
  <si>
    <t>　收到原保险合同保费取得的现金(元)</t>
  </si>
  <si>
    <t>　收到再保险业务现金净额(元)</t>
  </si>
  <si>
    <t>　保户储金及投资款净增加额(元)</t>
  </si>
  <si>
    <t>　处置交易性金融资产净增加额(元)</t>
  </si>
  <si>
    <t>　收取利息、手续费及佣金的现金(元)</t>
  </si>
  <si>
    <t>　拆入资金净增加额(元)</t>
  </si>
  <si>
    <t>　发放贷款及垫款的净减少额(元)</t>
  </si>
  <si>
    <t>　回购业务资金净增加额(元)</t>
  </si>
  <si>
    <t>　收到的税费返还(元)</t>
  </si>
  <si>
    <t>　收到其他与经营活动有关的现金(元)</t>
  </si>
  <si>
    <t>　经营活动现金流入的其他项目(元)</t>
  </si>
  <si>
    <t>　经营活动现金流入的平衡项目(元)</t>
  </si>
  <si>
    <t>　经营活动现金流入小计(元)</t>
  </si>
  <si>
    <t>　购买商品、接受劳务支付的现金(元)</t>
  </si>
  <si>
    <t>　客户贷款及垫款净增加额(元)</t>
  </si>
  <si>
    <t>　存放中央银行和同业款项净增加额(元)</t>
  </si>
  <si>
    <t>　支付原保险合同赔付款项的现金(元)</t>
  </si>
  <si>
    <t>　支付利息、手续费及佣金的现金(元)</t>
  </si>
  <si>
    <t>　支付保单红利的现金(元)</t>
  </si>
  <si>
    <t>　支付给职工以及为职工支付的现金(元)</t>
  </si>
  <si>
    <t>　支付的各项税费(元)</t>
  </si>
  <si>
    <t>　支付其他与经营活动有关的现金(元)</t>
  </si>
  <si>
    <t>　经营活动现金流出的其他项目(元)</t>
  </si>
  <si>
    <t>　经营活动现金流出的平衡项目(元)</t>
  </si>
  <si>
    <t>　经营活动现金流出小计(元)</t>
  </si>
  <si>
    <t>　经营活动产生的现金流量净额其他项目(元)</t>
  </si>
  <si>
    <t>　经营活动产生的现金流量净额平衡项目(元)</t>
  </si>
  <si>
    <t>　经营活动产生的现金流量净额(元)</t>
  </si>
  <si>
    <t>投资活动产生的现金流量：</t>
  </si>
  <si>
    <t>　收回投资收到的现金(元)</t>
  </si>
  <si>
    <t>　取得投资收益收到的现金(元)</t>
  </si>
  <si>
    <t>　处置固定资产、无形资产和其他长期资产收回的现金净额(元)</t>
  </si>
  <si>
    <t>　处置子公司及其他营业单位收到的现金净额(元)</t>
  </si>
  <si>
    <t>　减少质押和定期存款所收到的现金(元)</t>
  </si>
  <si>
    <t>　收到的其他与投资活动有关的现金(元)</t>
  </si>
  <si>
    <t>　投资活动现金流入的其他项目(元)</t>
  </si>
  <si>
    <t>　投资活动现金流入的平衡项目(元)</t>
  </si>
  <si>
    <t>　投资活动现金流入小计(元)</t>
  </si>
  <si>
    <t>　购建固定资产、无形资产和其他长期资产支付的现金(元)</t>
  </si>
  <si>
    <t>　投资支付的现金(元)</t>
  </si>
  <si>
    <t>　质押贷款净增加额(元)</t>
  </si>
  <si>
    <t>　取得子公司及其他营业单位支付的现金(元)</t>
  </si>
  <si>
    <t>　增加质押和定期存款所支付的现金(元)</t>
  </si>
  <si>
    <t>　支付其他与投资活动有关的现金(元)</t>
  </si>
  <si>
    <t>　投资活动现金流出的其他项目(元)</t>
  </si>
  <si>
    <t>　投资活动现金流出的平衡项目(元)</t>
  </si>
  <si>
    <t>　投资活动现金流出小计(元)</t>
  </si>
  <si>
    <t>　投资活动产生的现金流量净额其他项目(元)</t>
  </si>
  <si>
    <t>　投资活动产生的现金流量净额平衡项目(元)</t>
  </si>
  <si>
    <t>　投资活动产生的现金流量净额(元)</t>
  </si>
  <si>
    <t>筹资活动产生的现金流量：</t>
  </si>
  <si>
    <t>　吸收投资收到的现金(元)</t>
  </si>
  <si>
    <t>　其中：子公司吸收少数股东投资收到的现金(元)</t>
  </si>
  <si>
    <t>　取得借款收到的现金(元)</t>
  </si>
  <si>
    <t>　发行债券收到的现金(元)</t>
  </si>
  <si>
    <t>　收到其他与筹资活动有关的现金(元)</t>
  </si>
  <si>
    <t>　筹资活动现金流入其他项目(元)</t>
  </si>
  <si>
    <t>　筹资活动现金流入平衡项目(元)</t>
  </si>
  <si>
    <t>　筹资活动现金流入小计(元)</t>
  </si>
  <si>
    <t>　偿还债务支付的现金(元)</t>
  </si>
  <si>
    <t>　分配股利、利润或偿付利息支付的现金(元)</t>
  </si>
  <si>
    <t>　其中：子公司支付给少数股东的股利、利润(元)</t>
  </si>
  <si>
    <t>　购买子公司少数股权而支付的现金(元)</t>
  </si>
  <si>
    <t>　支付其他与筹资活动有关的现金(元)</t>
  </si>
  <si>
    <t>　其中：子公司减资支付给少数股东的现金(元)</t>
  </si>
  <si>
    <t>　筹资活动现金流出其他项目(元)</t>
  </si>
  <si>
    <t>　筹资活动现金流出平衡项目(元)</t>
  </si>
  <si>
    <t>　筹资活动现金流出小计(元)</t>
  </si>
  <si>
    <t>　筹资活动产生的现金流量净额其他项目(元)</t>
  </si>
  <si>
    <t>　筹资活动产生的现金流量净额平衡项目(元)</t>
  </si>
  <si>
    <t>　筹资活动产生的现金流量净额(元)</t>
  </si>
  <si>
    <t>汇率变动对现金及现金等价物的影响(元)</t>
  </si>
  <si>
    <t>　现金及现金等价物净增加额其他项目(元)</t>
  </si>
  <si>
    <t>　现金及现金等价物净增加额平衡项目(元)</t>
  </si>
  <si>
    <t>现金及现金等价物净增加额(元)</t>
  </si>
  <si>
    <t>　期初现金及现金等价物余额(元)</t>
  </si>
  <si>
    <t>　期末现金及现金等价物余额其他项目(元)</t>
  </si>
  <si>
    <t>　期末现金及现金等价物余额平衡项目(元)</t>
  </si>
  <si>
    <t>　期末现金及现金等价物余额(元)</t>
  </si>
  <si>
    <t>补充资料：</t>
  </si>
  <si>
    <t>　净利润(元)</t>
  </si>
  <si>
    <t>　资产减值准备(元)</t>
  </si>
  <si>
    <t>　固定资产和投资性房地产折旧(元)</t>
  </si>
  <si>
    <t>　其中：固定资产折旧、油气资产折耗、生产性生物资产折旧(元)</t>
  </si>
  <si>
    <t>　　　　投资性房地产折旧(元)</t>
  </si>
  <si>
    <t>　无形资产摊销(元)</t>
  </si>
  <si>
    <t>　长期待摊费用摊销(元)</t>
  </si>
  <si>
    <t>　递延收益摊销(元)</t>
  </si>
  <si>
    <t>　待摊费用的减少(元)</t>
  </si>
  <si>
    <t>　预提费用的增加(元)</t>
  </si>
  <si>
    <t>　使用权资产折旧与摊销(元)</t>
  </si>
  <si>
    <t>　处置固定资产、无形资产和其他长期资产的损失(元)</t>
  </si>
  <si>
    <t>　固定资产报废损失(元)</t>
  </si>
  <si>
    <t>　公允价值变动损失(元)</t>
  </si>
  <si>
    <t>　投资损失(元)</t>
  </si>
  <si>
    <t>　递延所得税(元)</t>
  </si>
  <si>
    <t>　其中：递延所得税资产减少(元)</t>
  </si>
  <si>
    <t>　　　　递延所得税负债增加(元)</t>
  </si>
  <si>
    <t>　预计负债的增加(元)</t>
  </si>
  <si>
    <t>　存货的减少(元)</t>
  </si>
  <si>
    <t>　经营性应收项目的减少(元)</t>
  </si>
  <si>
    <t>　经营性应付项目的增加(元)</t>
  </si>
  <si>
    <t>　其他(元)</t>
  </si>
  <si>
    <t>　债务转为资本(元)</t>
  </si>
  <si>
    <t>　一年内到期的可转换公司债券(元)</t>
  </si>
  <si>
    <t>　融资租入固定资产(元)</t>
  </si>
  <si>
    <t>　不涉及现金收支的投资和筹资活动金额其他项目(元)</t>
  </si>
  <si>
    <t>　现金的期末余额(元)</t>
  </si>
  <si>
    <t>　减：现金的期初余额(元)</t>
  </si>
  <si>
    <t>　加：现金等价物的期末余额(元)</t>
  </si>
  <si>
    <t>　减：现金等价物的期初余额(元)</t>
  </si>
  <si>
    <t>　现金及现金等价物的净增加额(元)</t>
  </si>
  <si>
    <t>A (项目)</t>
  </si>
  <si>
    <t>B (金额/填入你的数据)</t>
  </si>
  <si>
    <t>C (逻辑与公式)</t>
  </si>
  <si>
    <t>一、期初存量</t>
  </si>
  <si>
    <t>期初归属于母公司所有者权益</t>
  </si>
  <si>
    <t>直接抄报表期初数</t>
  </si>
  <si>
    <t>(+) 期初应付股利</t>
  </si>
  <si>
    <t>若资产负债表有余额则填入，否则为0</t>
  </si>
  <si>
    <t>重构期初普通股权益 (A)</t>
  </si>
  <si>
    <t>这是你的起点</t>
  </si>
  <si>
    <t>二、流量：重构综合收益</t>
  </si>
  <si>
    <t>公司真正赚的钱</t>
  </si>
  <si>
    <t>综合收益总额 (净利润+OCI)</t>
  </si>
  <si>
    <t>抄报表“综合收益总额”行</t>
  </si>
  <si>
    <t>(-) 专项储备本期使用</t>
  </si>
  <si>
    <t>抄报表“专项储备-本期使用”，填正数，公式里减</t>
  </si>
  <si>
    <t>(-) 优先股股利</t>
  </si>
  <si>
    <t>若有则填，无则为0</t>
  </si>
  <si>
    <t>重构综合收益合计 (B)</t>
  </si>
  <si>
    <t>注意：专项储备使用视为费用消耗</t>
  </si>
  <si>
    <t>三、流量：对股东净支付</t>
  </si>
  <si>
    <t>股东拿走(正) vs 股东投入(负)</t>
  </si>
  <si>
    <t>(+) 现金分红</t>
  </si>
  <si>
    <t>抄报表“对所有者分配”绝对值</t>
  </si>
  <si>
    <t>(+) 股票回购 (库存股增加)</t>
  </si>
  <si>
    <t>若“库存股”列为正数(回购)，填在这里</t>
  </si>
  <si>
    <t>(-) 股票再发行 (库存股减少)</t>
  </si>
  <si>
    <t>若“库存股”列为负数，取绝对值填在这里</t>
  </si>
  <si>
    <t>(-) 其他新股发行 (资本公积增加)</t>
  </si>
  <si>
    <t>抄“所有者投入普通股”行的资本公积增加额</t>
  </si>
  <si>
    <t>(+/-) 应付股利变动</t>
  </si>
  <si>
    <t>期末应付 - 期初应付 (通常为0)</t>
  </si>
  <si>
    <t>对股东净支付合计 (C)</t>
  </si>
  <si>
    <t>正数代表净流出，负数代表净融资</t>
  </si>
  <si>
    <t>四、验证与勾稽</t>
  </si>
  <si>
    <t>计算得出的期末权益</t>
  </si>
  <si>
    <t>公式：期初 + 收益 - 净支付</t>
  </si>
  <si>
    <t>报表实际期末权益</t>
  </si>
  <si>
    <t>抄报表期末数，用于对比</t>
  </si>
  <si>
    <t>差额 (必须为0)</t>
  </si>
  <si>
    <t>如果不是0，说明填错了</t>
  </si>
  <si>
    <t>比率分析</t>
  </si>
  <si>
    <t>B (计算公式/数据源)</t>
  </si>
  <si>
    <t>C (结果示例)</t>
  </si>
  <si>
    <t>D (逻辑说明)</t>
  </si>
  <si>
    <t>五、核心输入数据 (来自上表)</t>
  </si>
  <si>
    <t>期初重构权益</t>
  </si>
  <si>
    <t>4464089226·</t>
  </si>
  <si>
    <t>引用上表</t>
  </si>
  <si>
    <t>期末重构权益</t>
  </si>
  <si>
    <t>重构综合收益</t>
  </si>
  <si>
    <t>对股东净支付 (Net Payout)</t>
  </si>
  <si>
    <t>正数=流出，负数=投入</t>
  </si>
  <si>
    <t>平均重构权益</t>
  </si>
  <si>
    <t>用于计算ROCE分母</t>
  </si>
  <si>
    <t>六、分红与留存比率</t>
  </si>
  <si>
    <t>看老板大不大方</t>
  </si>
  <si>
    <t>总发放率 (Total Payout Ratio)</t>
  </si>
  <si>
    <r>
      <rPr>
        <b/>
        <sz val="11"/>
        <color rgb="FF1F1F1F"/>
        <rFont val="宋体"/>
        <charset val="134"/>
      </rPr>
      <t>（股利</t>
    </r>
    <r>
      <rPr>
        <b/>
        <sz val="11"/>
        <color rgb="FF1F1F1F"/>
        <rFont val="Arial"/>
        <charset val="134"/>
      </rPr>
      <t>+</t>
    </r>
    <r>
      <rPr>
        <b/>
        <sz val="11"/>
        <color rgb="FF1F1F1F"/>
        <rFont val="宋体"/>
        <charset val="134"/>
      </rPr>
      <t>股份回购金额）</t>
    </r>
    <r>
      <rPr>
        <b/>
        <sz val="11"/>
        <color rgb="FF1F1F1F"/>
        <rFont val="Arial"/>
        <charset val="134"/>
      </rPr>
      <t>/</t>
    </r>
    <r>
      <rPr>
        <b/>
        <sz val="11"/>
        <color rgb="FF1F1F1F"/>
        <rFont val="宋体"/>
        <charset val="134"/>
      </rPr>
      <t>综合收益</t>
    </r>
  </si>
  <si>
    <t>每赚100块，分给股东54块</t>
  </si>
  <si>
    <t>收益留存率 (Retention Ratio)</t>
  </si>
  <si>
    <r>
      <rPr>
        <sz val="11"/>
        <color rgb="FF1F1F1F"/>
        <rFont val="Arial"/>
        <charset val="134"/>
      </rPr>
      <t>1-</t>
    </r>
    <r>
      <rPr>
        <sz val="11"/>
        <color rgb="FF1F1F1F"/>
        <rFont val="宋体"/>
        <charset val="134"/>
      </rPr>
      <t>总发放率</t>
    </r>
  </si>
  <si>
    <t>每赚100块，留46块发展</t>
  </si>
  <si>
    <t>总发放额占权益比</t>
  </si>
  <si>
    <r>
      <rPr>
        <sz val="11"/>
        <color rgb="FF1F1F1F"/>
        <rFont val="宋体"/>
        <charset val="134"/>
      </rPr>
      <t>（股利</t>
    </r>
    <r>
      <rPr>
        <sz val="11"/>
        <color rgb="FF1F1F1F"/>
        <rFont val="Arial"/>
        <charset val="134"/>
      </rPr>
      <t>+</t>
    </r>
    <r>
      <rPr>
        <sz val="11"/>
        <color rgb="FF1F1F1F"/>
        <rFont val="宋体"/>
        <charset val="134"/>
      </rPr>
      <t>股份回购）</t>
    </r>
    <r>
      <rPr>
        <sz val="11"/>
        <color rgb="FF1F1F1F"/>
        <rFont val="Arial"/>
        <charset val="134"/>
      </rPr>
      <t>/(</t>
    </r>
    <r>
      <rPr>
        <sz val="11"/>
        <color rgb="FF1F1F1F"/>
        <rFont val="宋体"/>
        <charset val="134"/>
      </rPr>
      <t>普通股东权益账面价值</t>
    </r>
    <r>
      <rPr>
        <sz val="11"/>
        <color rgb="FF1F1F1F"/>
        <rFont val="Arial"/>
        <charset val="134"/>
      </rPr>
      <t>+</t>
    </r>
    <r>
      <rPr>
        <sz val="11"/>
        <color rgb="FF1F1F1F"/>
        <rFont val="宋体"/>
        <charset val="134"/>
      </rPr>
      <t>股利</t>
    </r>
    <r>
      <rPr>
        <sz val="11"/>
        <color rgb="FF1F1F1F"/>
        <rFont val="Arial"/>
        <charset val="134"/>
      </rPr>
      <t>+</t>
    </r>
    <r>
      <rPr>
        <sz val="11"/>
        <color rgb="FF1F1F1F"/>
        <rFont val="宋体"/>
        <charset val="134"/>
      </rPr>
      <t>股份回购）</t>
    </r>
  </si>
  <si>
    <t>七、盈利能力比率</t>
  </si>
  <si>
    <t>看赚钱效率</t>
  </si>
  <si>
    <r>
      <rPr>
        <b/>
        <sz val="11"/>
        <color rgb="FF1F1F1F"/>
        <rFont val="Arial"/>
        <charset val="134"/>
      </rPr>
      <t>ROCE(</t>
    </r>
    <r>
      <rPr>
        <b/>
        <sz val="11"/>
        <color rgb="FF1F1F1F"/>
        <rFont val="宋体"/>
        <charset val="134"/>
      </rPr>
      <t>半年报数据）</t>
    </r>
  </si>
  <si>
    <t>基于平均权益的收益率</t>
  </si>
  <si>
    <t>ROCE (年化估计)</t>
  </si>
  <si>
    <t>简单乘以2，估算全年水平</t>
  </si>
  <si>
    <t>八、增长率分解</t>
  </si>
  <si>
    <t>看增长动力</t>
  </si>
  <si>
    <t>总权益增长率</t>
  </si>
  <si>
    <r>
      <rPr>
        <sz val="11"/>
        <color rgb="FF1F1F1F"/>
        <rFont val="Arial"/>
        <charset val="134"/>
      </rPr>
      <t>(</t>
    </r>
    <r>
      <rPr>
        <sz val="11"/>
        <color rgb="FF1F1F1F"/>
        <rFont val="宋体"/>
        <charset val="134"/>
      </rPr>
      <t>期末重构权益</t>
    </r>
    <r>
      <rPr>
        <sz val="11"/>
        <color rgb="FF1F1F1F"/>
        <rFont val="Arial"/>
        <charset val="134"/>
      </rPr>
      <t>-</t>
    </r>
    <r>
      <rPr>
        <sz val="11"/>
        <color rgb="FF1F1F1F"/>
        <rFont val="宋体"/>
        <charset val="134"/>
      </rPr>
      <t>期初重构权益</t>
    </r>
    <r>
      <rPr>
        <sz val="11"/>
        <color rgb="FF1F1F1F"/>
        <rFont val="Arial"/>
        <charset val="134"/>
      </rPr>
      <t>)/</t>
    </r>
    <r>
      <rPr>
        <sz val="11"/>
        <color rgb="FF1F1F1F"/>
        <rFont val="宋体"/>
        <charset val="134"/>
      </rPr>
      <t>期初重构权益</t>
    </r>
  </si>
  <si>
    <t>净资产这半年总共涨了多少</t>
  </si>
  <si>
    <r>
      <rPr>
        <b/>
        <sz val="11"/>
        <color rgb="FF1F1F1F"/>
        <rFont val="宋体"/>
        <charset val="134"/>
      </rPr>
      <t>分解</t>
    </r>
    <r>
      <rPr>
        <b/>
        <sz val="11"/>
        <color rgb="FF1F1F1F"/>
        <rFont val="Arial"/>
        <charset val="134"/>
      </rPr>
      <t>1</t>
    </r>
    <r>
      <rPr>
        <b/>
        <sz val="11"/>
        <color rgb="FF1F1F1F"/>
        <rFont val="宋体"/>
        <charset val="134"/>
      </rPr>
      <t>：内生增长</t>
    </r>
    <r>
      <rPr>
        <b/>
        <sz val="11"/>
        <color rgb="FF1F1F1F"/>
        <rFont val="Arial"/>
        <charset val="134"/>
      </rPr>
      <t xml:space="preserve"> (ROCE</t>
    </r>
    <r>
      <rPr>
        <b/>
        <sz val="11"/>
        <color rgb="FF1F1F1F"/>
        <rFont val="宋体"/>
        <charset val="134"/>
      </rPr>
      <t>期初</t>
    </r>
    <r>
      <rPr>
        <b/>
        <sz val="11"/>
        <color rgb="FF1F1F1F"/>
        <rFont val="Arial"/>
        <charset val="134"/>
      </rPr>
      <t>)</t>
    </r>
  </si>
  <si>
    <r>
      <rPr>
        <b/>
        <sz val="11"/>
        <color rgb="FF1F1F1F"/>
        <rFont val="宋体"/>
        <charset val="134"/>
      </rPr>
      <t>重构综合收益</t>
    </r>
    <r>
      <rPr>
        <b/>
        <sz val="11"/>
        <color rgb="FF1F1F1F"/>
        <rFont val="Arial"/>
        <charset val="134"/>
      </rPr>
      <t>/</t>
    </r>
    <r>
      <rPr>
        <b/>
        <sz val="11"/>
        <color rgb="FF1F1F1F"/>
        <rFont val="宋体"/>
        <charset val="134"/>
      </rPr>
      <t>期初重构收益</t>
    </r>
  </si>
  <si>
    <t>靠本事赚来的增长 (收益/期初)</t>
  </si>
  <si>
    <r>
      <rPr>
        <b/>
        <sz val="11"/>
        <color rgb="FF1F1F1F"/>
        <rFont val="宋体"/>
        <charset val="134"/>
      </rPr>
      <t>分解</t>
    </r>
    <r>
      <rPr>
        <b/>
        <sz val="11"/>
        <color rgb="FF1F1F1F"/>
        <rFont val="Arial"/>
        <charset val="134"/>
      </rPr>
      <t>2</t>
    </r>
    <r>
      <rPr>
        <b/>
        <sz val="11"/>
        <color rgb="FF1F1F1F"/>
        <rFont val="宋体"/>
        <charset val="134"/>
      </rPr>
      <t>：新增投资率</t>
    </r>
  </si>
  <si>
    <r>
      <rPr>
        <b/>
        <sz val="11"/>
        <color rgb="FF1F1F1F"/>
        <rFont val="Arial"/>
        <charset val="134"/>
      </rPr>
      <t>“-</t>
    </r>
    <r>
      <rPr>
        <b/>
        <sz val="11"/>
        <color rgb="FF1F1F1F"/>
        <rFont val="宋体"/>
        <charset val="134"/>
      </rPr>
      <t>对股东净支付</t>
    </r>
    <r>
      <rPr>
        <b/>
        <sz val="11"/>
        <color rgb="FF1F1F1F"/>
        <rFont val="Arial"/>
        <charset val="134"/>
      </rPr>
      <t>/</t>
    </r>
    <r>
      <rPr>
        <b/>
        <sz val="11"/>
        <color rgb="FF1F1F1F"/>
        <rFont val="宋体"/>
        <charset val="134"/>
      </rPr>
      <t>期初重构收益</t>
    </r>
  </si>
  <si>
    <t>注意加负号！这是股东抽血导致的收缩</t>
  </si>
  <si>
    <t>验证 (必须相等)</t>
  </si>
  <si>
    <r>
      <rPr>
        <sz val="11"/>
        <color rgb="FF1F1F1F"/>
        <rFont val="宋体"/>
        <charset val="134"/>
      </rPr>
      <t>内生增长</t>
    </r>
    <r>
      <rPr>
        <sz val="11"/>
        <color rgb="FF1F1F1F"/>
        <rFont val="Arial"/>
        <charset val="134"/>
      </rPr>
      <t xml:space="preserve"> (ROCE</t>
    </r>
    <r>
      <rPr>
        <sz val="11"/>
        <color rgb="FF1F1F1F"/>
        <rFont val="宋体"/>
        <charset val="134"/>
      </rPr>
      <t>期初</t>
    </r>
    <r>
      <rPr>
        <sz val="11"/>
        <color rgb="FF1F1F1F"/>
        <rFont val="Arial"/>
        <charset val="134"/>
      </rPr>
      <t>)+</t>
    </r>
    <r>
      <rPr>
        <sz val="11"/>
        <color rgb="FF1F1F1F"/>
        <rFont val="宋体"/>
        <charset val="134"/>
      </rPr>
      <t>新增投资率=总权益增长率</t>
    </r>
  </si>
  <si>
    <t>内生(7.33%) - 抽血(3.99%) = 实际增长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</si>
</sst>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,##0.00"/>
  </numFmts>
  <fonts count="50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i/>
      <sz val="11"/>
      <color rgb="FF1F1F1F"/>
      <name val="Arial"/>
      <charset val="134"/>
    </font>
    <font>
      <b/>
      <sz val="11"/>
      <color rgb="FF1F1F1F"/>
      <name val="宋体"/>
      <charset val="134"/>
    </font>
    <font>
      <sz val="11"/>
      <color rgb="FF1F1F1F"/>
      <name val="宋体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1"/>
      <color rgb="FFFF0000"/>
      <name val="宋体"/>
      <charset val="134"/>
      <scheme val="minor"/>
    </font>
    <font>
      <b/>
      <sz val="10.5"/>
      <color rgb="FF1A1C1E"/>
      <name val="Arial"/>
      <charset val="134"/>
    </font>
    <font>
      <sz val="10.5"/>
      <color rgb="FF1A1C1E"/>
      <name val="宋体"/>
      <charset val="134"/>
    </font>
    <font>
      <b/>
      <sz val="10.5"/>
      <color rgb="FF1A1C1E"/>
      <name val="宋体"/>
      <charset val="134"/>
    </font>
    <font>
      <sz val="10.5"/>
      <color rgb="FF1A1C1E"/>
      <name val="Arial"/>
      <charset val="134"/>
    </font>
    <font>
      <sz val="10.5"/>
      <color rgb="FF32302C"/>
      <name val="Courier New"/>
      <charset val="134"/>
    </font>
    <font>
      <i/>
      <sz val="10.5"/>
      <color rgb="FF1A1C1E"/>
      <name val="宋体"/>
      <charset val="134"/>
    </font>
    <font>
      <b/>
      <sz val="10.5"/>
      <color theme="1"/>
      <name val="Arial"/>
      <charset val="134"/>
    </font>
    <font>
      <sz val="10.5"/>
      <color theme="1"/>
      <name val="宋体"/>
      <charset val="134"/>
    </font>
    <font>
      <sz val="10.5"/>
      <color theme="1"/>
      <name val="Arial"/>
      <charset val="134"/>
    </font>
    <font>
      <b/>
      <sz val="10"/>
      <color theme="1"/>
      <name val="宋体"/>
      <charset val="134"/>
    </font>
    <font>
      <sz val="10"/>
      <color theme="1"/>
      <name val="宋体"/>
      <charset val="134"/>
    </font>
    <font>
      <sz val="10"/>
      <color rgb="FFFF0000"/>
      <name val="宋体"/>
      <charset val="134"/>
    </font>
    <font>
      <b/>
      <sz val="10"/>
      <color rgb="FFFF0000"/>
      <name val="宋体"/>
      <charset val="134"/>
    </font>
    <font>
      <i/>
      <sz val="10.5"/>
      <color rgb="FF1A1C1E"/>
      <name val="Arial"/>
      <charset val="134"/>
    </font>
    <font>
      <b/>
      <sz val="11"/>
      <color theme="1"/>
      <name val="宋体"/>
      <charset val="134"/>
      <scheme val="minor"/>
    </font>
    <font>
      <b/>
      <sz val="10.5"/>
      <color rgb="FFFF0000"/>
      <name val="宋体"/>
      <charset val="134"/>
    </font>
    <font>
      <i/>
      <sz val="10.5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Arial"/>
      <charset val="134"/>
    </font>
    <font>
      <sz val="10.5"/>
      <color rgb="FF32302C"/>
      <name val="宋体"/>
      <charset val="134"/>
    </font>
    <font>
      <b/>
      <sz val="10"/>
      <color rgb="FFFF0000"/>
      <name val="Arial"/>
      <charset val="134"/>
    </font>
    <font>
      <b/>
      <sz val="10.5"/>
      <color rgb="FFFF000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0" fillId="4" borderId="3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2" fillId="0" borderId="4">
      <alignment vertical="center"/>
    </xf>
    <xf numFmtId="0" fontId="33" fillId="0" borderId="4">
      <alignment vertical="center"/>
    </xf>
    <xf numFmtId="0" fontId="34" fillId="0" borderId="5">
      <alignment vertical="center"/>
    </xf>
    <xf numFmtId="0" fontId="34" fillId="0" borderId="0">
      <alignment vertical="center"/>
    </xf>
    <xf numFmtId="0" fontId="35" fillId="5" borderId="6">
      <alignment vertical="center"/>
    </xf>
    <xf numFmtId="0" fontId="36" fillId="6" borderId="7">
      <alignment vertical="center"/>
    </xf>
    <xf numFmtId="0" fontId="37" fillId="6" borderId="6">
      <alignment vertical="center"/>
    </xf>
    <xf numFmtId="0" fontId="38" fillId="7" borderId="8">
      <alignment vertical="center"/>
    </xf>
    <xf numFmtId="0" fontId="39" fillId="0" borderId="9">
      <alignment vertical="center"/>
    </xf>
    <xf numFmtId="0" fontId="40" fillId="0" borderId="10">
      <alignment vertical="center"/>
    </xf>
    <xf numFmtId="0" fontId="41" fillId="8" borderId="0">
      <alignment vertical="center"/>
    </xf>
    <xf numFmtId="0" fontId="42" fillId="9" borderId="0">
      <alignment vertical="center"/>
    </xf>
    <xf numFmtId="0" fontId="43" fillId="10" borderId="0">
      <alignment vertical="center"/>
    </xf>
    <xf numFmtId="0" fontId="44" fillId="11" borderId="0">
      <alignment vertical="center"/>
    </xf>
    <xf numFmtId="0" fontId="45" fillId="12" borderId="0">
      <alignment vertical="center"/>
    </xf>
    <xf numFmtId="0" fontId="45" fillId="13" borderId="0">
      <alignment vertical="center"/>
    </xf>
    <xf numFmtId="0" fontId="44" fillId="14" borderId="0">
      <alignment vertical="center"/>
    </xf>
    <xf numFmtId="0" fontId="44" fillId="15" borderId="0">
      <alignment vertical="center"/>
    </xf>
    <xf numFmtId="0" fontId="45" fillId="16" borderId="0">
      <alignment vertical="center"/>
    </xf>
    <xf numFmtId="0" fontId="45" fillId="17" borderId="0">
      <alignment vertical="center"/>
    </xf>
    <xf numFmtId="0" fontId="44" fillId="18" borderId="0">
      <alignment vertical="center"/>
    </xf>
    <xf numFmtId="0" fontId="44" fillId="19" borderId="0">
      <alignment vertical="center"/>
    </xf>
    <xf numFmtId="0" fontId="45" fillId="20" borderId="0">
      <alignment vertical="center"/>
    </xf>
    <xf numFmtId="0" fontId="45" fillId="21" borderId="0">
      <alignment vertical="center"/>
    </xf>
    <xf numFmtId="0" fontId="44" fillId="22" borderId="0">
      <alignment vertical="center"/>
    </xf>
    <xf numFmtId="0" fontId="44" fillId="23" borderId="0">
      <alignment vertical="center"/>
    </xf>
    <xf numFmtId="0" fontId="45" fillId="24" borderId="0">
      <alignment vertical="center"/>
    </xf>
    <xf numFmtId="0" fontId="45" fillId="25" borderId="0">
      <alignment vertical="center"/>
    </xf>
    <xf numFmtId="0" fontId="44" fillId="26" borderId="0">
      <alignment vertical="center"/>
    </xf>
    <xf numFmtId="0" fontId="44" fillId="27" borderId="0">
      <alignment vertical="center"/>
    </xf>
    <xf numFmtId="0" fontId="45" fillId="28" borderId="0">
      <alignment vertical="center"/>
    </xf>
    <xf numFmtId="0" fontId="45" fillId="29" borderId="0">
      <alignment vertical="center"/>
    </xf>
    <xf numFmtId="0" fontId="44" fillId="30" borderId="0">
      <alignment vertical="center"/>
    </xf>
    <xf numFmtId="0" fontId="44" fillId="31" borderId="0">
      <alignment vertical="center"/>
    </xf>
    <xf numFmtId="0" fontId="45" fillId="32" borderId="0">
      <alignment vertical="center"/>
    </xf>
    <xf numFmtId="0" fontId="45" fillId="33" borderId="0">
      <alignment vertical="center"/>
    </xf>
    <xf numFmtId="0" fontId="44" fillId="34" borderId="0">
      <alignment vertical="center"/>
    </xf>
    <xf numFmtId="0" fontId="7" fillId="0" borderId="0"/>
  </cellStyleXfs>
  <cellXfs count="85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4" fontId="3" fillId="0" borderId="1" xfId="0" applyNumberFormat="1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  <xf numFmtId="3" fontId="3" fillId="0" borderId="1" xfId="0" applyNumberFormat="1" applyFont="1" applyBorder="1" applyAlignment="1">
      <alignment vertical="center" wrapText="1" readingOrder="1"/>
    </xf>
    <xf numFmtId="3" fontId="2" fillId="0" borderId="1" xfId="0" applyNumberFormat="1" applyFont="1" applyBorder="1" applyAlignment="1">
      <alignment vertical="center" wrapText="1" readingOrder="1"/>
    </xf>
    <xf numFmtId="10" fontId="2" fillId="0" borderId="1" xfId="0" applyNumberFormat="1" applyFont="1" applyBorder="1" applyAlignment="1">
      <alignment vertical="center" wrapText="1" readingOrder="1"/>
    </xf>
    <xf numFmtId="10" fontId="5" fillId="0" borderId="1" xfId="0" applyNumberFormat="1" applyFont="1" applyBorder="1" applyAlignment="1">
      <alignment vertical="center" wrapText="1" readingOrder="1"/>
    </xf>
    <xf numFmtId="10" fontId="3" fillId="0" borderId="1" xfId="0" applyNumberFormat="1" applyFont="1" applyBorder="1" applyAlignment="1">
      <alignment vertical="center" wrapText="1" readingOrder="1"/>
    </xf>
    <xf numFmtId="0" fontId="6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center" wrapText="1" readingOrder="1"/>
    </xf>
    <xf numFmtId="10" fontId="6" fillId="0" borderId="1" xfId="0" applyNumberFormat="1" applyFont="1" applyBorder="1" applyAlignment="1">
      <alignment vertical="center" wrapText="1" readingOrder="1"/>
    </xf>
    <xf numFmtId="0" fontId="7" fillId="0" borderId="0" xfId="49"/>
    <xf numFmtId="3" fontId="8" fillId="0" borderId="0" xfId="49" applyNumberFormat="1" applyFont="1" applyAlignment="1">
      <alignment horizontal="center"/>
    </xf>
    <xf numFmtId="3" fontId="8" fillId="0" borderId="0" xfId="49" applyNumberFormat="1" applyFont="1" applyAlignment="1">
      <alignment horizontal="left"/>
    </xf>
    <xf numFmtId="176" fontId="7" fillId="0" borderId="0" xfId="49" applyNumberFormat="1" applyAlignment="1">
      <alignment horizontal="right"/>
    </xf>
    <xf numFmtId="176" fontId="8" fillId="0" borderId="0" xfId="49" applyNumberFormat="1" applyFont="1" applyAlignment="1">
      <alignment horizontal="right"/>
    </xf>
    <xf numFmtId="0" fontId="0" fillId="0" borderId="0" xfId="0" applyFont="1" applyAlignment="1">
      <alignment vertical="center"/>
    </xf>
    <xf numFmtId="0" fontId="9" fillId="0" borderId="2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10" fillId="2" borderId="2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vertical="center" wrapText="1"/>
    </xf>
    <xf numFmtId="0" fontId="12" fillId="2" borderId="2" xfId="0" applyFont="1" applyFill="1" applyBorder="1" applyAlignment="1">
      <alignment vertical="center" wrapText="1"/>
    </xf>
    <xf numFmtId="0" fontId="13" fillId="2" borderId="2" xfId="0" applyFont="1" applyFill="1" applyBorder="1" applyAlignment="1">
      <alignment vertical="center" wrapText="1"/>
    </xf>
    <xf numFmtId="0" fontId="14" fillId="2" borderId="2" xfId="0" applyFont="1" applyFill="1" applyBorder="1" applyAlignment="1">
      <alignment vertical="center" wrapText="1"/>
    </xf>
    <xf numFmtId="0" fontId="13" fillId="2" borderId="2" xfId="0" applyFont="1" applyFill="1" applyBorder="1" applyAlignment="1">
      <alignment vertical="center" wrapText="1"/>
    </xf>
    <xf numFmtId="0" fontId="13" fillId="2" borderId="2" xfId="0" applyFont="1" applyFill="1" applyBorder="1" applyAlignment="1">
      <alignment vertical="center" wrapText="1"/>
    </xf>
    <xf numFmtId="0" fontId="15" fillId="2" borderId="2" xfId="0" applyFont="1" applyFill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17" fillId="0" borderId="2" xfId="0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0" fontId="7" fillId="0" borderId="2" xfId="49" applyBorder="1"/>
    <xf numFmtId="0" fontId="7" fillId="3" borderId="2" xfId="49" applyFill="1" applyBorder="1"/>
    <xf numFmtId="3" fontId="8" fillId="0" borderId="2" xfId="49" applyNumberFormat="1" applyFont="1" applyBorder="1" applyAlignment="1">
      <alignment horizontal="center"/>
    </xf>
    <xf numFmtId="3" fontId="19" fillId="3" borderId="2" xfId="49" applyNumberFormat="1" applyFont="1" applyFill="1" applyBorder="1" applyAlignment="1">
      <alignment horizontal="center"/>
    </xf>
    <xf numFmtId="3" fontId="8" fillId="0" borderId="2" xfId="49" applyNumberFormat="1" applyFont="1" applyBorder="1" applyAlignment="1">
      <alignment horizontal="left"/>
    </xf>
    <xf numFmtId="3" fontId="8" fillId="3" borderId="2" xfId="49" applyNumberFormat="1" applyFont="1" applyFill="1" applyBorder="1" applyAlignment="1">
      <alignment horizontal="left"/>
    </xf>
    <xf numFmtId="176" fontId="8" fillId="0" borderId="2" xfId="49" applyNumberFormat="1" applyFont="1" applyBorder="1" applyAlignment="1">
      <alignment horizontal="right"/>
    </xf>
    <xf numFmtId="176" fontId="7" fillId="0" borderId="2" xfId="49" applyNumberFormat="1" applyBorder="1" applyAlignment="1">
      <alignment horizontal="right"/>
    </xf>
    <xf numFmtId="0" fontId="20" fillId="3" borderId="2" xfId="49" applyFont="1" applyFill="1" applyBorder="1"/>
    <xf numFmtId="0" fontId="21" fillId="0" borderId="2" xfId="49" applyFont="1" applyBorder="1"/>
    <xf numFmtId="0" fontId="7" fillId="3" borderId="2" xfId="49" applyFont="1" applyFill="1" applyBorder="1"/>
    <xf numFmtId="3" fontId="22" fillId="0" borderId="2" xfId="49" applyNumberFormat="1" applyFont="1" applyBorder="1" applyAlignment="1">
      <alignment horizontal="left"/>
    </xf>
    <xf numFmtId="3" fontId="19" fillId="3" borderId="2" xfId="49" applyNumberFormat="1" applyFont="1" applyFill="1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9" fontId="13" fillId="2" borderId="2" xfId="0" applyNumberFormat="1" applyFont="1" applyFill="1" applyBorder="1" applyAlignment="1">
      <alignment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23" fillId="2" borderId="2" xfId="0" applyFont="1" applyFill="1" applyBorder="1" applyAlignment="1">
      <alignment vertical="center" wrapText="1"/>
    </xf>
    <xf numFmtId="0" fontId="12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10" fillId="2" borderId="2" xfId="0" applyFont="1" applyFill="1" applyBorder="1" applyAlignment="1">
      <alignment vertical="center" wrapText="1"/>
    </xf>
    <xf numFmtId="0" fontId="13" fillId="2" borderId="2" xfId="0" applyFont="1" applyFill="1" applyBorder="1" applyAlignment="1">
      <alignment vertical="center" wrapText="1"/>
    </xf>
    <xf numFmtId="10" fontId="13" fillId="2" borderId="2" xfId="0" applyNumberFormat="1" applyFont="1" applyFill="1" applyBorder="1" applyAlignment="1">
      <alignment vertical="center" wrapText="1"/>
    </xf>
    <xf numFmtId="0" fontId="14" fillId="2" borderId="2" xfId="0" applyFont="1" applyFill="1" applyBorder="1" applyAlignment="1">
      <alignment vertical="center" wrapText="1"/>
    </xf>
    <xf numFmtId="0" fontId="12" fillId="2" borderId="2" xfId="0" applyFont="1" applyFill="1" applyBorder="1" applyAlignment="1">
      <alignment vertical="center" wrapText="1"/>
    </xf>
    <xf numFmtId="49" fontId="14" fillId="2" borderId="2" xfId="0" applyNumberFormat="1" applyFont="1" applyFill="1" applyBorder="1" applyAlignment="1">
      <alignment vertical="center" wrapText="1"/>
    </xf>
    <xf numFmtId="0" fontId="23" fillId="2" borderId="2" xfId="0" applyFont="1" applyFill="1" applyBorder="1" applyAlignment="1">
      <alignment vertical="center" wrapText="1"/>
    </xf>
    <xf numFmtId="0" fontId="25" fillId="0" borderId="0" xfId="0" applyFont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10" fillId="2" borderId="0" xfId="0" applyFont="1" applyFill="1" applyAlignment="1">
      <alignment vertical="center" wrapText="1"/>
    </xf>
    <xf numFmtId="0" fontId="14" fillId="2" borderId="0" xfId="0" applyFont="1" applyFill="1" applyAlignment="1">
      <alignment vertical="center" wrapText="1"/>
    </xf>
    <xf numFmtId="0" fontId="13" fillId="2" borderId="0" xfId="0" applyFont="1" applyFill="1" applyAlignment="1">
      <alignment vertical="center" wrapText="1"/>
    </xf>
    <xf numFmtId="0" fontId="23" fillId="2" borderId="0" xfId="0" applyFont="1" applyFill="1" applyAlignment="1">
      <alignment vertical="center" wrapText="1"/>
    </xf>
    <xf numFmtId="0" fontId="7" fillId="0" borderId="0" xfId="49" applyFill="1"/>
    <xf numFmtId="3" fontId="8" fillId="0" borderId="0" xfId="49" applyNumberFormat="1" applyFont="1" applyFill="1" applyAlignment="1">
      <alignment horizontal="center"/>
    </xf>
    <xf numFmtId="3" fontId="8" fillId="0" borderId="0" xfId="49" applyNumberFormat="1" applyFont="1" applyFill="1" applyAlignment="1">
      <alignment horizontal="left"/>
    </xf>
    <xf numFmtId="0" fontId="7" fillId="0" borderId="0" xfId="49" applyFill="1"/>
    <xf numFmtId="0" fontId="20" fillId="0" borderId="0" xfId="49" applyFont="1" applyFill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eetMetadata" Target="metadata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externalLink" Target="externalLinks/externalLink4.xml"/><Relationship Id="rId12" Type="http://schemas.openxmlformats.org/officeDocument/2006/relationships/externalLink" Target="externalLinks/externalLink3.xml"/><Relationship Id="rId11" Type="http://schemas.openxmlformats.org/officeDocument/2006/relationships/externalLink" Target="externalLinks/externalLink2.xml"/><Relationship Id="rId10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27</xdr:row>
      <xdr:rowOff>14605</xdr:rowOff>
    </xdr:from>
    <xdr:to>
      <xdr:col>4</xdr:col>
      <xdr:colOff>286385</xdr:colOff>
      <xdr:row>31</xdr:row>
      <xdr:rowOff>60325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6047105"/>
          <a:ext cx="6287135" cy="7569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github\Penman-Financial-Analysis-Notes\docs\04-excel-models\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github\Penman-Financial-Analysis-Notes\docs\04-excel-models\&#36164;&#20135;&#36127;&#20538;&#34920;&#37325;&#26500;2025010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structured_I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structured_B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</sheetNames>
    <definedNames>
      <definedName name="B8 " refersTo="=#REF!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  <sheetName val="净经营性资产"/>
      <sheetName val="净金融债务"/>
      <sheetName val="股东权益"/>
      <sheetName val="原资产负债表"/>
      <sheetName val="Sheet6"/>
      <sheetName val="Sheet7"/>
    </sheetNames>
    <sheetDataSet>
      <sheetData sheetId="0" refreshError="1">
        <row r="7">
          <cell r="B7">
            <v>112523118.581</v>
          </cell>
        </row>
      </sheetData>
      <sheetData sheetId="1" refreshError="1"/>
      <sheetData sheetId="2" refreshError="1"/>
      <sheetData sheetId="3" refreshError="1"/>
      <sheetData sheetId="4" refreshError="1">
        <row r="6">
          <cell r="C6">
            <v>1991253433.13</v>
          </cell>
        </row>
      </sheetData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definedNames>
      <definedName name="营业收入" refersTo="=#NAME?"/>
      <definedName name="NOPAT" refersTo="=#NAME?"/>
      <definedName name="NFE" refersTo="=#NAME?"/>
    </definedNames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definedNames>
      <definedName name="期初NOA" refersTo="=#NAME?"/>
    </definedNames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8"/>
  <sheetViews>
    <sheetView workbookViewId="0">
      <selection activeCell="A67" sqref="A67"/>
    </sheetView>
  </sheetViews>
  <sheetFormatPr defaultColWidth="9" defaultRowHeight="12.5"/>
  <cols>
    <col min="1" max="1" width="47.2636363636364" style="80" customWidth="1"/>
    <col min="2" max="10" width="15.5727272727273" style="15" customWidth="1"/>
    <col min="11" max="11" width="9" style="15"/>
    <col min="12" max="12" width="10.7272727272727" style="15" customWidth="1"/>
    <col min="13" max="16384" width="9" style="15"/>
  </cols>
  <sheetData>
    <row r="1" s="15" customFormat="1" ht="13" spans="1:12">
      <c r="A1" s="81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</row>
    <row r="2" s="15" customFormat="1" ht="14" spans="1:12">
      <c r="A2" s="80" t="s">
        <v>10</v>
      </c>
      <c r="B2" s="15" t="s">
        <v>11</v>
      </c>
      <c r="C2" s="15" t="s">
        <v>11</v>
      </c>
      <c r="D2" s="15" t="s">
        <v>11</v>
      </c>
      <c r="E2" s="15" t="s">
        <v>11</v>
      </c>
      <c r="F2" s="15" t="s">
        <v>11</v>
      </c>
      <c r="G2" s="15" t="s">
        <v>11</v>
      </c>
      <c r="H2" s="15" t="s">
        <v>11</v>
      </c>
      <c r="I2" s="15" t="s">
        <v>11</v>
      </c>
      <c r="J2" s="15" t="s">
        <v>11</v>
      </c>
      <c r="L2"/>
    </row>
    <row r="3" s="15" customFormat="1" ht="14" spans="1:12">
      <c r="A3" s="80" t="s">
        <v>12</v>
      </c>
      <c r="B3" s="15" t="s">
        <v>13</v>
      </c>
      <c r="C3" s="15" t="s">
        <v>13</v>
      </c>
      <c r="D3" s="15" t="s">
        <v>13</v>
      </c>
      <c r="E3" s="15" t="s">
        <v>13</v>
      </c>
      <c r="F3" s="15" t="s">
        <v>13</v>
      </c>
      <c r="G3" s="15" t="s">
        <v>13</v>
      </c>
      <c r="H3" s="15" t="s">
        <v>13</v>
      </c>
      <c r="I3" s="15" t="s">
        <v>13</v>
      </c>
      <c r="J3" s="15" t="s">
        <v>13</v>
      </c>
      <c r="L3"/>
    </row>
    <row r="4" s="15" customFormat="1" ht="14" spans="1:12">
      <c r="A4" s="80" t="s">
        <v>14</v>
      </c>
      <c r="B4" s="15" t="s">
        <v>15</v>
      </c>
      <c r="C4" s="15" t="s">
        <v>15</v>
      </c>
      <c r="D4" s="15" t="s">
        <v>15</v>
      </c>
      <c r="E4" s="15" t="s">
        <v>15</v>
      </c>
      <c r="F4" s="15" t="s">
        <v>15</v>
      </c>
      <c r="G4" s="15" t="s">
        <v>15</v>
      </c>
      <c r="H4" s="15" t="s">
        <v>15</v>
      </c>
      <c r="I4" s="15" t="s">
        <v>15</v>
      </c>
      <c r="J4" s="15" t="s">
        <v>15</v>
      </c>
      <c r="L4"/>
    </row>
    <row r="5" s="15" customFormat="1" ht="14" spans="1:12">
      <c r="A5" s="82" t="s">
        <v>16</v>
      </c>
      <c r="L5"/>
    </row>
    <row r="6" s="15" customFormat="1" ht="14" spans="1:12">
      <c r="A6" s="80" t="s">
        <v>17</v>
      </c>
      <c r="B6" s="18">
        <v>1723046566.25</v>
      </c>
      <c r="C6" s="18">
        <v>1845478152.79</v>
      </c>
      <c r="D6" s="18">
        <v>2001637150.79</v>
      </c>
      <c r="E6" s="18">
        <v>1526375233.89</v>
      </c>
      <c r="F6" s="18">
        <v>1624579432.66</v>
      </c>
      <c r="G6" s="18">
        <v>1228929167.93</v>
      </c>
      <c r="H6" s="18">
        <v>541718476.26</v>
      </c>
      <c r="I6" s="18">
        <v>225719568.86</v>
      </c>
      <c r="J6" s="18">
        <v>365421378.92</v>
      </c>
      <c r="L6"/>
    </row>
    <row r="7" s="15" customFormat="1" spans="1:12">
      <c r="A7" s="80" t="s">
        <v>18</v>
      </c>
    </row>
    <row r="8" s="15" customFormat="1" spans="1:12">
      <c r="A8" s="80" t="s">
        <v>19</v>
      </c>
    </row>
    <row r="9" s="15" customFormat="1" spans="1:12">
      <c r="A9" s="83" t="s">
        <v>20</v>
      </c>
      <c r="B9" s="18">
        <v>50322384.66</v>
      </c>
      <c r="C9" s="18">
        <v>8626</v>
      </c>
    </row>
    <row r="10" s="15" customFormat="1" spans="1:12">
      <c r="A10" s="80" t="s">
        <v>21</v>
      </c>
    </row>
    <row r="11" s="15" customFormat="1" spans="1:12">
      <c r="A11" s="83" t="s">
        <v>22</v>
      </c>
    </row>
    <row r="12" s="15" customFormat="1" spans="1:12">
      <c r="A12" s="83" t="s">
        <v>23</v>
      </c>
      <c r="B12" s="18">
        <v>1035402711.09</v>
      </c>
      <c r="C12" s="18">
        <v>851687200.8</v>
      </c>
      <c r="D12" s="18">
        <v>790890033.33</v>
      </c>
      <c r="E12" s="18">
        <v>567013771.22</v>
      </c>
      <c r="F12" s="18">
        <v>458930449.04</v>
      </c>
      <c r="G12" s="18">
        <v>595526269.65</v>
      </c>
      <c r="H12" s="18">
        <v>643156396.95</v>
      </c>
      <c r="I12" s="18">
        <v>642505610.07</v>
      </c>
      <c r="J12" s="18">
        <v>606387186.33</v>
      </c>
    </row>
    <row r="13" s="15" customFormat="1" spans="1:12">
      <c r="A13" s="80" t="s">
        <v>24</v>
      </c>
      <c r="B13" s="18">
        <v>162848038.15</v>
      </c>
      <c r="C13" s="18">
        <v>126499916.09</v>
      </c>
      <c r="D13" s="18">
        <v>81735132.46</v>
      </c>
      <c r="E13" s="18">
        <v>36878518.13</v>
      </c>
      <c r="F13" s="18">
        <v>19848428.56</v>
      </c>
      <c r="G13" s="18">
        <v>13031312.34</v>
      </c>
    </row>
    <row r="14" s="15" customFormat="1" spans="1:12">
      <c r="A14" s="80" t="s">
        <v>25</v>
      </c>
      <c r="B14" s="18">
        <v>872554672.94</v>
      </c>
      <c r="C14" s="18">
        <v>725187284.71</v>
      </c>
      <c r="D14" s="18">
        <v>709154900.87</v>
      </c>
      <c r="E14" s="18">
        <v>530135253.09</v>
      </c>
      <c r="F14" s="18">
        <v>439082020.48</v>
      </c>
      <c r="G14" s="18">
        <v>582494957.31</v>
      </c>
    </row>
    <row r="15" s="15" customFormat="1" spans="1:12">
      <c r="A15" s="83" t="s">
        <v>26</v>
      </c>
      <c r="B15" s="18">
        <v>94302275.67</v>
      </c>
      <c r="C15" s="18">
        <v>82686081.82</v>
      </c>
      <c r="D15" s="18">
        <v>28083358.53</v>
      </c>
      <c r="E15" s="18">
        <v>118637421.69</v>
      </c>
      <c r="F15" s="18">
        <v>165199791.55</v>
      </c>
      <c r="G15" s="18">
        <v>215383438.94</v>
      </c>
    </row>
    <row r="16" s="15" customFormat="1" spans="1:12">
      <c r="A16" s="83" t="s">
        <v>27</v>
      </c>
      <c r="B16" s="18">
        <v>21769366.3</v>
      </c>
      <c r="C16" s="18">
        <v>128685593.4</v>
      </c>
      <c r="D16" s="18">
        <v>83408660.08</v>
      </c>
      <c r="E16" s="18">
        <v>74100935.82</v>
      </c>
      <c r="F16" s="18">
        <v>83035411.03</v>
      </c>
      <c r="G16" s="18">
        <v>62875293.86</v>
      </c>
      <c r="H16" s="18">
        <v>59595476.7</v>
      </c>
      <c r="I16" s="18">
        <v>59776583.42</v>
      </c>
      <c r="J16" s="18">
        <v>55734928.94</v>
      </c>
    </row>
    <row r="17" s="15" customFormat="1" spans="1:10">
      <c r="A17" s="80" t="s">
        <v>28</v>
      </c>
    </row>
    <row r="18" s="15" customFormat="1" spans="1:10">
      <c r="A18" s="80" t="s">
        <v>29</v>
      </c>
    </row>
    <row r="19" s="15" customFormat="1" spans="1:10">
      <c r="A19" s="80" t="s">
        <v>30</v>
      </c>
    </row>
    <row r="20" s="15" customFormat="1" spans="1:10">
      <c r="A20" s="80" t="s">
        <v>31</v>
      </c>
      <c r="B20" s="18">
        <v>50452913.4</v>
      </c>
      <c r="C20" s="18">
        <v>48718511.31</v>
      </c>
      <c r="D20" s="18">
        <v>41120234.31</v>
      </c>
      <c r="E20" s="18">
        <v>69568637.03</v>
      </c>
      <c r="F20" s="18">
        <v>33382132.7</v>
      </c>
      <c r="G20" s="18">
        <v>34837581.9</v>
      </c>
      <c r="H20" s="18">
        <v>20475173.85</v>
      </c>
      <c r="I20" s="18">
        <v>20424633.2</v>
      </c>
      <c r="J20" s="18">
        <v>16430420.23</v>
      </c>
    </row>
    <row r="21" s="15" customFormat="1" spans="1:10">
      <c r="A21" s="80" t="s">
        <v>32</v>
      </c>
      <c r="G21" s="18">
        <v>2343561.63</v>
      </c>
    </row>
    <row r="22" s="15" customFormat="1" spans="1:10">
      <c r="A22" s="80" t="s">
        <v>33</v>
      </c>
    </row>
    <row r="23" s="15" customFormat="1" spans="1:10">
      <c r="A23" s="80" t="s">
        <v>34</v>
      </c>
      <c r="B23" s="18">
        <v>50452913.4</v>
      </c>
      <c r="C23" s="18">
        <v>48718511.31</v>
      </c>
      <c r="D23" s="18">
        <v>41120234.31</v>
      </c>
      <c r="E23" s="18">
        <v>69568637.03</v>
      </c>
      <c r="F23" s="18">
        <v>33382132.7</v>
      </c>
      <c r="G23" s="18">
        <v>32494020.27</v>
      </c>
      <c r="H23" s="18">
        <v>20475173.85</v>
      </c>
      <c r="I23" s="18">
        <v>20424633.2</v>
      </c>
      <c r="J23" s="18">
        <v>16430420.23</v>
      </c>
    </row>
    <row r="24" s="15" customFormat="1" spans="1:10">
      <c r="A24" s="80" t="s">
        <v>35</v>
      </c>
    </row>
    <row r="25" s="15" customFormat="1" spans="1:10">
      <c r="A25" s="80" t="s">
        <v>36</v>
      </c>
    </row>
    <row r="26" s="15" customFormat="1" spans="1:10">
      <c r="A26" s="80" t="s">
        <v>37</v>
      </c>
    </row>
    <row r="27" s="15" customFormat="1" spans="1:10">
      <c r="A27" s="83" t="s">
        <v>38</v>
      </c>
    </row>
    <row r="28" s="15" customFormat="1" spans="1:10">
      <c r="A28" s="80" t="s">
        <v>39</v>
      </c>
    </row>
    <row r="29" s="15" customFormat="1" spans="1:10">
      <c r="A29" s="80" t="s">
        <v>40</v>
      </c>
    </row>
    <row r="30" s="15" customFormat="1" ht="13" spans="1:10">
      <c r="A30" s="84" t="s">
        <v>41</v>
      </c>
      <c r="B30" s="18">
        <v>2566018245.57</v>
      </c>
      <c r="C30" s="18">
        <v>2819492730.56</v>
      </c>
      <c r="D30" s="18">
        <v>2459595914.52</v>
      </c>
      <c r="E30" s="18">
        <v>1867069693.61</v>
      </c>
      <c r="F30" s="18">
        <v>1603890018.38</v>
      </c>
      <c r="G30" s="18">
        <v>1464309400.89</v>
      </c>
      <c r="H30" s="18">
        <v>1241320451.27</v>
      </c>
      <c r="I30" s="18">
        <v>957439829.79</v>
      </c>
      <c r="J30" s="18">
        <v>589826147.13</v>
      </c>
    </row>
    <row r="31" s="15" customFormat="1" spans="1:10">
      <c r="A31" s="80" t="s">
        <v>42</v>
      </c>
    </row>
    <row r="32" s="15" customFormat="1" spans="1:10">
      <c r="A32" s="83" t="s">
        <v>43</v>
      </c>
      <c r="B32" s="18">
        <v>88430040.42</v>
      </c>
      <c r="C32" s="18">
        <v>128364067.67</v>
      </c>
      <c r="D32" s="18">
        <v>90466345.29</v>
      </c>
      <c r="E32" s="18">
        <v>53966166.87</v>
      </c>
      <c r="F32" s="18">
        <v>41244484.11</v>
      </c>
    </row>
    <row r="33" s="15" customFormat="1" spans="1:10">
      <c r="A33" s="80" t="s">
        <v>44</v>
      </c>
    </row>
    <row r="34" s="15" customFormat="1" spans="1:10">
      <c r="A34" s="80" t="s">
        <v>45</v>
      </c>
    </row>
    <row r="35" s="15" customFormat="1" spans="1:10">
      <c r="A35" s="80" t="s">
        <v>46</v>
      </c>
    </row>
    <row r="36" s="15" customFormat="1" spans="1:10">
      <c r="A36" s="80" t="s">
        <v>47</v>
      </c>
      <c r="B36" s="18">
        <v>66428111.5</v>
      </c>
      <c r="C36" s="18">
        <v>61841581</v>
      </c>
      <c r="D36" s="18">
        <v>153226071.99</v>
      </c>
      <c r="E36" s="18">
        <v>28413897.27</v>
      </c>
      <c r="F36" s="18">
        <v>1376358.42</v>
      </c>
      <c r="G36" s="18">
        <v>1107640.43</v>
      </c>
      <c r="H36" s="18">
        <v>9576116.97</v>
      </c>
      <c r="I36" s="18">
        <v>31361634.31</v>
      </c>
      <c r="J36" s="18">
        <v>46918.39</v>
      </c>
    </row>
    <row r="37" s="15" customFormat="1" spans="1:10">
      <c r="A37" s="80" t="s">
        <v>48</v>
      </c>
    </row>
    <row r="38" s="15" customFormat="1" spans="1:10">
      <c r="A38" s="80" t="s">
        <v>49</v>
      </c>
    </row>
    <row r="39" s="15" customFormat="1" ht="13" spans="1:10">
      <c r="A39" s="82" t="s">
        <v>50</v>
      </c>
      <c r="B39" s="19">
        <v>5696172614.86</v>
      </c>
      <c r="C39" s="19">
        <v>5966962545.35</v>
      </c>
      <c r="D39" s="19">
        <v>5648427768.84</v>
      </c>
      <c r="E39" s="19">
        <v>4305145757.4</v>
      </c>
      <c r="F39" s="19">
        <v>4011638077.89</v>
      </c>
      <c r="G39" s="19">
        <v>3602968793.6</v>
      </c>
      <c r="H39" s="19">
        <v>2515842092</v>
      </c>
      <c r="I39" s="19">
        <v>1937227859.65</v>
      </c>
      <c r="J39" s="19">
        <v>1633846979.94</v>
      </c>
    </row>
    <row r="40" s="15" customFormat="1" ht="13" spans="1:10">
      <c r="A40" s="82" t="s">
        <v>51</v>
      </c>
    </row>
    <row r="41" s="15" customFormat="1" spans="1:10">
      <c r="A41" s="80" t="s">
        <v>52</v>
      </c>
    </row>
    <row r="42" s="15" customFormat="1" spans="1:10">
      <c r="A42" s="83" t="s">
        <v>53</v>
      </c>
    </row>
    <row r="43" s="15" customFormat="1" spans="1:10">
      <c r="A43" s="80" t="s">
        <v>54</v>
      </c>
    </row>
    <row r="44" s="15" customFormat="1" spans="1:10">
      <c r="A44" s="80" t="s">
        <v>55</v>
      </c>
    </row>
    <row r="45" s="15" customFormat="1" spans="1:10">
      <c r="A45" s="80" t="s">
        <v>56</v>
      </c>
    </row>
    <row r="46" s="15" customFormat="1" spans="1:10">
      <c r="A46" s="80" t="s">
        <v>57</v>
      </c>
    </row>
    <row r="47" s="15" customFormat="1" spans="1:10">
      <c r="A47" s="80" t="s">
        <v>58</v>
      </c>
    </row>
    <row r="48" s="15" customFormat="1" spans="1:10">
      <c r="A48" s="80" t="s">
        <v>59</v>
      </c>
    </row>
    <row r="49" s="15" customFormat="1" spans="1:10">
      <c r="A49" s="80" t="s">
        <v>60</v>
      </c>
    </row>
    <row r="50" s="15" customFormat="1" spans="1:10">
      <c r="A50" s="83" t="s">
        <v>61</v>
      </c>
    </row>
    <row r="51" s="15" customFormat="1" spans="1:10">
      <c r="A51" s="83" t="s">
        <v>62</v>
      </c>
    </row>
    <row r="52" s="15" customFormat="1" spans="1:10">
      <c r="A52" s="80" t="s">
        <v>63</v>
      </c>
    </row>
    <row r="53" s="15" customFormat="1" spans="1:10">
      <c r="A53" s="83" t="s">
        <v>64</v>
      </c>
      <c r="B53" s="18">
        <v>2276113969.89</v>
      </c>
      <c r="C53" s="18">
        <v>1947714586.12</v>
      </c>
      <c r="D53" s="18">
        <v>1513155578.36</v>
      </c>
      <c r="E53" s="18">
        <v>897104983.55</v>
      </c>
      <c r="F53" s="18">
        <v>850932491.58</v>
      </c>
      <c r="G53" s="18">
        <v>802586132.89</v>
      </c>
      <c r="H53" s="18">
        <v>813314943.97</v>
      </c>
      <c r="I53" s="18">
        <v>737759505.68</v>
      </c>
      <c r="J53" s="18">
        <v>678786255.12</v>
      </c>
    </row>
    <row r="54" s="15" customFormat="1" spans="1:10">
      <c r="A54" s="83" t="s">
        <v>65</v>
      </c>
      <c r="B54" s="18">
        <v>136330644.02</v>
      </c>
      <c r="C54" s="18">
        <v>152475308.18</v>
      </c>
      <c r="D54" s="18">
        <v>261769587.73</v>
      </c>
      <c r="E54" s="18">
        <v>296249439.48</v>
      </c>
      <c r="F54" s="18">
        <v>43255467.9</v>
      </c>
      <c r="G54" s="18">
        <v>11596390</v>
      </c>
      <c r="H54" s="18">
        <v>9293134.81</v>
      </c>
      <c r="I54" s="18">
        <v>20022483.33</v>
      </c>
      <c r="J54" s="18">
        <v>6263686.75</v>
      </c>
    </row>
    <row r="55" s="15" customFormat="1" spans="1:10">
      <c r="A55" s="80" t="s">
        <v>66</v>
      </c>
    </row>
    <row r="56" s="15" customFormat="1" spans="1:10">
      <c r="A56" s="80" t="s">
        <v>67</v>
      </c>
    </row>
    <row r="57" s="15" customFormat="1" spans="1:10">
      <c r="A57" s="80" t="s">
        <v>68</v>
      </c>
    </row>
    <row r="58" s="15" customFormat="1" spans="1:10">
      <c r="A58" s="80" t="s">
        <v>69</v>
      </c>
    </row>
    <row r="59" s="15" customFormat="1" spans="1:10">
      <c r="A59" s="83" t="s">
        <v>70</v>
      </c>
      <c r="B59" s="18">
        <v>1116002.95</v>
      </c>
      <c r="C59" s="18">
        <v>1943142.67</v>
      </c>
      <c r="D59" s="18">
        <v>2951079.13</v>
      </c>
      <c r="E59" s="18">
        <v>285000</v>
      </c>
    </row>
    <row r="60" s="15" customFormat="1" spans="1:10">
      <c r="A60" s="83" t="s">
        <v>71</v>
      </c>
      <c r="B60" s="18">
        <v>308495762.45</v>
      </c>
      <c r="C60" s="18">
        <v>282332594.21</v>
      </c>
      <c r="D60" s="18">
        <v>290684827.35</v>
      </c>
      <c r="E60" s="18">
        <v>200359431.42</v>
      </c>
      <c r="F60" s="18">
        <v>205035120.38</v>
      </c>
      <c r="G60" s="18">
        <v>183798661.85</v>
      </c>
      <c r="H60" s="18">
        <v>176808589.16</v>
      </c>
      <c r="I60" s="18">
        <v>181998495.73</v>
      </c>
      <c r="J60" s="18">
        <v>187265020.76</v>
      </c>
    </row>
    <row r="61" s="15" customFormat="1" spans="1:10">
      <c r="A61" s="80" t="s">
        <v>72</v>
      </c>
    </row>
    <row r="62" s="15" customFormat="1" spans="1:10">
      <c r="A62" s="83" t="s">
        <v>73</v>
      </c>
    </row>
    <row r="63" s="15" customFormat="1" spans="1:10">
      <c r="A63" s="80" t="s">
        <v>74</v>
      </c>
      <c r="F63" s="18">
        <v>300000</v>
      </c>
    </row>
    <row r="64" s="15" customFormat="1" spans="1:10">
      <c r="A64" s="83" t="s">
        <v>75</v>
      </c>
      <c r="B64" s="18">
        <v>128281177.8</v>
      </c>
      <c r="C64" s="18">
        <v>131652717.52</v>
      </c>
      <c r="D64" s="18">
        <v>140007673.19</v>
      </c>
      <c r="E64" s="18">
        <v>120165391</v>
      </c>
      <c r="F64" s="18">
        <v>101991055.23</v>
      </c>
      <c r="G64" s="18">
        <v>73572244.82</v>
      </c>
      <c r="H64" s="18">
        <v>55275359.8</v>
      </c>
      <c r="I64" s="18">
        <v>45300094.39</v>
      </c>
      <c r="J64" s="18">
        <v>39922241.76</v>
      </c>
    </row>
    <row r="65" s="15" customFormat="1" spans="1:10">
      <c r="A65" s="80" t="s">
        <v>76</v>
      </c>
      <c r="B65" s="18">
        <v>126021439.64</v>
      </c>
      <c r="C65" s="18">
        <v>145707103.57</v>
      </c>
      <c r="D65" s="18">
        <v>119617979.33</v>
      </c>
      <c r="E65" s="18">
        <v>131426127.29</v>
      </c>
      <c r="F65" s="18">
        <v>33768223.13</v>
      </c>
      <c r="G65" s="18">
        <v>2669870.35</v>
      </c>
    </row>
    <row r="66" s="15" customFormat="1" spans="1:10">
      <c r="A66" s="80" t="s">
        <v>77</v>
      </c>
    </row>
    <row r="67" s="15" customFormat="1" spans="1:10">
      <c r="A67" s="80" t="s">
        <v>78</v>
      </c>
    </row>
    <row r="68" s="15" customFormat="1" ht="13" spans="1:10">
      <c r="A68" s="82" t="s">
        <v>79</v>
      </c>
      <c r="B68" s="19">
        <v>2976358996.75</v>
      </c>
      <c r="C68" s="19">
        <v>2661825452.27</v>
      </c>
      <c r="D68" s="19">
        <v>2328186725.09</v>
      </c>
      <c r="E68" s="19">
        <v>1645590372.74</v>
      </c>
      <c r="F68" s="19">
        <v>1235282358.22</v>
      </c>
      <c r="G68" s="19">
        <v>1074223299.91</v>
      </c>
      <c r="H68" s="19">
        <v>1054692027.74</v>
      </c>
      <c r="I68" s="19">
        <v>985080579.13</v>
      </c>
      <c r="J68" s="19">
        <v>912237204.39</v>
      </c>
    </row>
    <row r="69" s="15" customFormat="1" spans="1:10">
      <c r="A69" s="80" t="s">
        <v>80</v>
      </c>
    </row>
    <row r="70" s="15" customFormat="1" spans="1:10">
      <c r="A70" s="80" t="s">
        <v>81</v>
      </c>
    </row>
    <row r="71" s="15" customFormat="1" ht="13" spans="1:10">
      <c r="A71" s="82" t="s">
        <v>82</v>
      </c>
      <c r="B71" s="19">
        <v>8672531611.61</v>
      </c>
      <c r="C71" s="19">
        <v>8628787997.62</v>
      </c>
      <c r="D71" s="19">
        <v>7976614493.93</v>
      </c>
      <c r="E71" s="19">
        <v>5950736130.14</v>
      </c>
      <c r="F71" s="19">
        <v>5246920436.11</v>
      </c>
      <c r="G71" s="19">
        <v>4677192093.51</v>
      </c>
      <c r="H71" s="19">
        <v>3570534119.74</v>
      </c>
      <c r="I71" s="19">
        <v>2922308438.78</v>
      </c>
      <c r="J71" s="19">
        <v>2546084184.33</v>
      </c>
    </row>
    <row r="72" s="15" customFormat="1" ht="13" spans="1:10">
      <c r="A72" s="82" t="s">
        <v>83</v>
      </c>
    </row>
    <row r="73" s="15" customFormat="1" spans="1:10">
      <c r="A73" s="83" t="s">
        <v>84</v>
      </c>
      <c r="B73" s="18">
        <v>200146666.67</v>
      </c>
      <c r="C73" s="18">
        <v>200140555.55</v>
      </c>
    </row>
    <row r="74" s="15" customFormat="1" spans="1:10">
      <c r="A74" s="80" t="s">
        <v>85</v>
      </c>
    </row>
    <row r="75" s="15" customFormat="1" spans="1:10">
      <c r="A75" s="80" t="s">
        <v>86</v>
      </c>
    </row>
    <row r="76" s="15" customFormat="1" spans="1:10">
      <c r="A76" s="80" t="s">
        <v>87</v>
      </c>
    </row>
    <row r="77" s="15" customFormat="1" spans="1:10">
      <c r="A77" s="80" t="s">
        <v>88</v>
      </c>
    </row>
    <row r="78" s="15" customFormat="1" spans="1:10">
      <c r="A78" s="80" t="s">
        <v>89</v>
      </c>
    </row>
    <row r="79" s="15" customFormat="1" spans="1:10">
      <c r="A79" s="83" t="s">
        <v>90</v>
      </c>
      <c r="B79" s="18">
        <v>559931726.9</v>
      </c>
      <c r="C79" s="18">
        <v>534190727.7</v>
      </c>
      <c r="D79" s="18">
        <v>548797084.46</v>
      </c>
      <c r="E79" s="18">
        <v>308696688.06</v>
      </c>
      <c r="F79" s="18">
        <v>274056268.94</v>
      </c>
      <c r="G79" s="18">
        <v>270163538.12</v>
      </c>
      <c r="H79" s="18">
        <v>285970840.41</v>
      </c>
      <c r="I79" s="18">
        <v>240687037.47</v>
      </c>
      <c r="J79" s="18">
        <v>177784717.86</v>
      </c>
    </row>
    <row r="80" s="15" customFormat="1" spans="1:10">
      <c r="A80" s="80" t="s">
        <v>91</v>
      </c>
      <c r="B80" s="18">
        <v>80000000</v>
      </c>
      <c r="C80" s="18">
        <v>44550000</v>
      </c>
      <c r="D80" s="18">
        <v>50000000</v>
      </c>
    </row>
    <row r="81" s="15" customFormat="1" spans="1:10">
      <c r="A81" s="80" t="s">
        <v>92</v>
      </c>
      <c r="B81" s="18">
        <v>479931726.9</v>
      </c>
      <c r="C81" s="18">
        <v>489640727.7</v>
      </c>
      <c r="D81" s="18">
        <v>498797084.46</v>
      </c>
      <c r="E81" s="18">
        <v>308696688.06</v>
      </c>
      <c r="F81" s="18">
        <v>274056268.94</v>
      </c>
      <c r="G81" s="18">
        <v>270163538.12</v>
      </c>
    </row>
    <row r="82" s="15" customFormat="1" spans="1:10">
      <c r="A82" s="83" t="s">
        <v>93</v>
      </c>
      <c r="G82" s="18">
        <v>1370736665.15</v>
      </c>
      <c r="H82" s="18">
        <v>1005195051.06</v>
      </c>
      <c r="I82" s="18">
        <v>690914786.87</v>
      </c>
      <c r="J82" s="18">
        <v>476656833.97</v>
      </c>
    </row>
    <row r="83" s="15" customFormat="1" spans="1:10">
      <c r="A83" s="83" t="s">
        <v>94</v>
      </c>
      <c r="B83" s="18">
        <v>2615853486.28</v>
      </c>
      <c r="C83" s="18">
        <v>2576038100.97</v>
      </c>
      <c r="D83" s="18">
        <v>2165741433.58</v>
      </c>
      <c r="E83" s="18">
        <v>1682221765.31</v>
      </c>
      <c r="F83" s="18">
        <v>1352962543.98</v>
      </c>
    </row>
    <row r="84" s="15" customFormat="1" spans="1:10">
      <c r="A84" s="80" t="s">
        <v>95</v>
      </c>
    </row>
    <row r="85" s="15" customFormat="1" spans="1:10">
      <c r="A85" s="80" t="s">
        <v>96</v>
      </c>
    </row>
    <row r="86" s="15" customFormat="1" spans="1:10">
      <c r="A86" s="83" t="s">
        <v>97</v>
      </c>
      <c r="B86" s="18">
        <v>311208112.5</v>
      </c>
      <c r="C86" s="18">
        <v>294267934.41</v>
      </c>
      <c r="D86" s="18">
        <v>304648019.85</v>
      </c>
      <c r="E86" s="18">
        <v>275922111.98</v>
      </c>
      <c r="F86" s="18">
        <v>251128935.96</v>
      </c>
      <c r="G86" s="18">
        <v>263777548.75</v>
      </c>
      <c r="H86" s="18">
        <v>195051729.59</v>
      </c>
      <c r="I86" s="18">
        <v>158739638.11</v>
      </c>
      <c r="J86" s="18">
        <v>152121982.41</v>
      </c>
    </row>
    <row r="87" s="15" customFormat="1" spans="1:10">
      <c r="A87" s="83" t="s">
        <v>98</v>
      </c>
      <c r="B87" s="18">
        <v>100695285.41</v>
      </c>
      <c r="C87" s="18">
        <v>80490706.14</v>
      </c>
      <c r="D87" s="18">
        <v>67844727.64</v>
      </c>
      <c r="E87" s="18">
        <v>51012811.74</v>
      </c>
      <c r="F87" s="18">
        <v>51241834.09</v>
      </c>
      <c r="G87" s="18">
        <v>57837229.16</v>
      </c>
      <c r="H87" s="18">
        <v>39576322.13</v>
      </c>
      <c r="I87" s="18">
        <v>37044960.47</v>
      </c>
      <c r="J87" s="18">
        <v>56479354.92</v>
      </c>
    </row>
    <row r="88" s="15" customFormat="1" spans="1:10">
      <c r="A88" s="80" t="s">
        <v>99</v>
      </c>
      <c r="B88" s="18">
        <v>65758007</v>
      </c>
      <c r="C88" s="18">
        <v>132265945.8</v>
      </c>
      <c r="D88" s="18">
        <v>170123344.28</v>
      </c>
      <c r="E88" s="18">
        <v>74908069.88</v>
      </c>
      <c r="F88" s="18">
        <v>136092379.1</v>
      </c>
      <c r="G88" s="18">
        <v>8697489.88</v>
      </c>
      <c r="H88" s="18">
        <v>7798159.89</v>
      </c>
      <c r="I88" s="18">
        <v>4052284.51</v>
      </c>
      <c r="J88" s="18">
        <v>2266914.6</v>
      </c>
    </row>
    <row r="89" s="15" customFormat="1" spans="1:10">
      <c r="A89" s="80" t="s">
        <v>100</v>
      </c>
    </row>
    <row r="90" s="15" customFormat="1" spans="1:10">
      <c r="A90" s="80" t="s">
        <v>101</v>
      </c>
    </row>
    <row r="91" s="15" customFormat="1" spans="1:10">
      <c r="A91" s="80" t="s">
        <v>102</v>
      </c>
      <c r="B91" s="18">
        <v>65758007</v>
      </c>
      <c r="C91" s="18">
        <v>132265945.8</v>
      </c>
      <c r="D91" s="18">
        <v>170123344.28</v>
      </c>
      <c r="E91" s="18">
        <v>74908069.88</v>
      </c>
      <c r="F91" s="18">
        <v>136092379.1</v>
      </c>
      <c r="G91" s="18">
        <v>8697489.88</v>
      </c>
      <c r="H91" s="18">
        <v>7798159.89</v>
      </c>
      <c r="I91" s="18">
        <v>4052284.51</v>
      </c>
      <c r="J91" s="18">
        <v>2266914.6</v>
      </c>
    </row>
    <row r="92" s="15" customFormat="1" spans="1:10">
      <c r="A92" s="80" t="s">
        <v>103</v>
      </c>
    </row>
    <row r="93" s="15" customFormat="1" spans="1:10">
      <c r="A93" s="80" t="s">
        <v>104</v>
      </c>
    </row>
    <row r="94" s="15" customFormat="1" spans="1:10">
      <c r="A94" s="80" t="s">
        <v>105</v>
      </c>
    </row>
    <row r="95" s="15" customFormat="1" spans="1:10">
      <c r="A95" s="80" t="s">
        <v>106</v>
      </c>
    </row>
    <row r="96" s="15" customFormat="1" spans="1:10">
      <c r="A96" s="80" t="s">
        <v>107</v>
      </c>
    </row>
    <row r="97" s="15" customFormat="1" spans="1:10">
      <c r="A97" s="80" t="s">
        <v>108</v>
      </c>
    </row>
    <row r="98" s="15" customFormat="1" spans="1:10">
      <c r="A98" s="80" t="s">
        <v>109</v>
      </c>
    </row>
    <row r="99" s="15" customFormat="1" spans="1:10">
      <c r="A99" s="80" t="s">
        <v>110</v>
      </c>
    </row>
    <row r="100" s="15" customFormat="1" spans="1:10">
      <c r="A100" s="80" t="s">
        <v>111</v>
      </c>
    </row>
    <row r="101" s="15" customFormat="1" spans="1:10">
      <c r="A101" s="80" t="s">
        <v>112</v>
      </c>
    </row>
    <row r="102" s="15" customFormat="1" spans="1:10">
      <c r="A102" s="83" t="s">
        <v>113</v>
      </c>
      <c r="B102" s="18">
        <v>20253266.42</v>
      </c>
      <c r="C102" s="18">
        <v>720017.39</v>
      </c>
      <c r="D102" s="18">
        <v>773083.88</v>
      </c>
    </row>
    <row r="103" s="15" customFormat="1" spans="1:10">
      <c r="A103" s="80" t="s">
        <v>114</v>
      </c>
    </row>
    <row r="104" s="15" customFormat="1" spans="1:10">
      <c r="A104" s="80" t="s">
        <v>115</v>
      </c>
      <c r="B104" s="18">
        <v>127672069.32</v>
      </c>
      <c r="C104" s="18">
        <v>142621258.03</v>
      </c>
      <c r="D104" s="18">
        <v>610563792.32</v>
      </c>
      <c r="E104" s="18">
        <v>129941765.67</v>
      </c>
      <c r="F104" s="18">
        <v>169730045.22</v>
      </c>
      <c r="G104" s="18">
        <v>6529069.24</v>
      </c>
    </row>
    <row r="105" s="15" customFormat="1" spans="1:10">
      <c r="A105" s="80" t="s">
        <v>116</v>
      </c>
    </row>
    <row r="106" s="15" customFormat="1" spans="1:10">
      <c r="A106" s="80" t="s">
        <v>117</v>
      </c>
    </row>
    <row r="107" s="15" customFormat="1" ht="13" spans="1:10">
      <c r="A107" s="82" t="s">
        <v>118</v>
      </c>
      <c r="B107" s="19">
        <v>4001518620.5</v>
      </c>
      <c r="C107" s="19">
        <v>3960735245.99</v>
      </c>
      <c r="D107" s="19">
        <v>3868491486.01</v>
      </c>
      <c r="E107" s="19">
        <v>2522703212.64</v>
      </c>
      <c r="F107" s="19">
        <v>2235212007.29</v>
      </c>
      <c r="G107" s="19">
        <v>1977741540.3</v>
      </c>
      <c r="H107" s="19">
        <v>1533592103.08</v>
      </c>
      <c r="I107" s="19">
        <v>1131438707.43</v>
      </c>
      <c r="J107" s="19">
        <v>865309803.76</v>
      </c>
    </row>
    <row r="108" s="15" customFormat="1" ht="13" spans="1:10">
      <c r="A108" s="82" t="s">
        <v>119</v>
      </c>
    </row>
    <row r="109" s="15" customFormat="1" spans="1:10">
      <c r="A109" s="83" t="s">
        <v>120</v>
      </c>
      <c r="B109" s="18">
        <v>70000000</v>
      </c>
    </row>
    <row r="110" s="15" customFormat="1" spans="1:10">
      <c r="A110" s="80" t="s">
        <v>121</v>
      </c>
    </row>
    <row r="111" s="15" customFormat="1" spans="1:10">
      <c r="A111" s="83" t="s">
        <v>122</v>
      </c>
    </row>
    <row r="112" s="15" customFormat="1" spans="1:10">
      <c r="A112" s="80" t="s">
        <v>123</v>
      </c>
    </row>
    <row r="113" s="15" customFormat="1" spans="1:10">
      <c r="A113" s="80" t="s">
        <v>124</v>
      </c>
    </row>
    <row r="114" s="15" customFormat="1" spans="1:10">
      <c r="A114" s="83" t="s">
        <v>125</v>
      </c>
      <c r="B114" s="18">
        <v>171292.86</v>
      </c>
      <c r="C114" s="18">
        <v>354420.39</v>
      </c>
      <c r="D114" s="18">
        <v>1178654.6</v>
      </c>
    </row>
    <row r="115" s="15" customFormat="1" spans="1:10">
      <c r="A115" s="80" t="s">
        <v>126</v>
      </c>
    </row>
    <row r="116" s="15" customFormat="1" spans="1:10">
      <c r="A116" s="80" t="s">
        <v>127</v>
      </c>
    </row>
    <row r="117" s="15" customFormat="1" spans="1:10">
      <c r="A117" s="80" t="s">
        <v>128</v>
      </c>
    </row>
    <row r="118" s="15" customFormat="1" spans="1:10">
      <c r="A118" s="80" t="s">
        <v>129</v>
      </c>
    </row>
    <row r="119" s="15" customFormat="1" spans="1:10">
      <c r="A119" s="80" t="s">
        <v>130</v>
      </c>
    </row>
    <row r="120" s="15" customFormat="1" spans="1:10">
      <c r="A120" s="80" t="s">
        <v>131</v>
      </c>
      <c r="B120" s="18">
        <v>52249694.96</v>
      </c>
      <c r="C120" s="18">
        <v>51832827.73</v>
      </c>
      <c r="D120" s="18">
        <v>55628719.13</v>
      </c>
      <c r="E120" s="18">
        <v>41256011.37</v>
      </c>
      <c r="F120" s="18">
        <v>26752678.62</v>
      </c>
      <c r="G120" s="18">
        <v>27104741.55</v>
      </c>
      <c r="H120" s="18">
        <v>26988908.62</v>
      </c>
      <c r="I120" s="18">
        <v>28835575.68</v>
      </c>
      <c r="J120" s="18">
        <v>29212705.53</v>
      </c>
    </row>
    <row r="121" s="15" customFormat="1" spans="1:10">
      <c r="A121" s="80" t="s">
        <v>132</v>
      </c>
      <c r="B121" s="18">
        <v>84502777.16</v>
      </c>
      <c r="C121" s="18">
        <v>73800711.02</v>
      </c>
      <c r="D121" s="18">
        <v>36740631.32</v>
      </c>
      <c r="E121" s="18">
        <v>17052262.06</v>
      </c>
      <c r="F121" s="18">
        <v>13305008.32</v>
      </c>
    </row>
    <row r="122" s="15" customFormat="1" spans="1:10">
      <c r="A122" s="80" t="s">
        <v>133</v>
      </c>
    </row>
    <row r="123" s="15" customFormat="1" spans="1:10">
      <c r="A123" s="80" t="s">
        <v>134</v>
      </c>
    </row>
    <row r="124" s="15" customFormat="1" spans="1:10">
      <c r="A124" s="80" t="s">
        <v>135</v>
      </c>
    </row>
    <row r="125" s="15" customFormat="1" ht="13" spans="1:10">
      <c r="A125" s="82" t="s">
        <v>136</v>
      </c>
      <c r="B125" s="19">
        <v>206923764.98</v>
      </c>
      <c r="C125" s="19">
        <v>125987959.14</v>
      </c>
      <c r="D125" s="19">
        <v>93548005.05</v>
      </c>
      <c r="E125" s="19">
        <v>58308273.43</v>
      </c>
      <c r="F125" s="19">
        <v>40057686.94</v>
      </c>
      <c r="G125" s="19">
        <v>27104741.55</v>
      </c>
      <c r="H125" s="19">
        <v>26988908.62</v>
      </c>
      <c r="I125" s="19">
        <v>28835575.68</v>
      </c>
      <c r="J125" s="19">
        <v>29212705.53</v>
      </c>
    </row>
    <row r="126" s="15" customFormat="1" spans="1:10">
      <c r="A126" s="80" t="s">
        <v>137</v>
      </c>
    </row>
    <row r="127" s="15" customFormat="1" spans="1:10">
      <c r="A127" s="80" t="s">
        <v>138</v>
      </c>
    </row>
    <row r="128" s="15" customFormat="1" ht="13" spans="1:10">
      <c r="A128" s="82" t="s">
        <v>139</v>
      </c>
      <c r="B128" s="19">
        <v>4208442385.48</v>
      </c>
      <c r="C128" s="19">
        <v>4086723205.13</v>
      </c>
      <c r="D128" s="19">
        <v>3962039491.06</v>
      </c>
      <c r="E128" s="19">
        <v>2581011486.07</v>
      </c>
      <c r="F128" s="19">
        <v>2275269694.23</v>
      </c>
      <c r="G128" s="19">
        <v>2004846281.85</v>
      </c>
      <c r="H128" s="19">
        <v>1560581011.7</v>
      </c>
      <c r="I128" s="19">
        <v>1160274283.11</v>
      </c>
      <c r="J128" s="19">
        <v>894522509.29</v>
      </c>
    </row>
    <row r="129" s="15" customFormat="1" ht="13" spans="1:10">
      <c r="A129" s="82" t="s">
        <v>140</v>
      </c>
    </row>
    <row r="130" s="15" customFormat="1" spans="1:10">
      <c r="A130" s="80" t="s">
        <v>141</v>
      </c>
      <c r="B130" s="18">
        <v>576457000</v>
      </c>
      <c r="C130" s="18">
        <v>576682400</v>
      </c>
      <c r="D130" s="18">
        <v>576683100</v>
      </c>
      <c r="E130" s="18">
        <v>411916500</v>
      </c>
      <c r="F130" s="18">
        <v>411739500</v>
      </c>
      <c r="G130" s="18">
        <v>400035000</v>
      </c>
      <c r="H130" s="18">
        <v>359535000</v>
      </c>
      <c r="I130" s="18">
        <v>359535000</v>
      </c>
      <c r="J130" s="18">
        <v>326850000</v>
      </c>
    </row>
    <row r="131" s="15" customFormat="1" spans="1:10">
      <c r="A131" s="80" t="s">
        <v>142</v>
      </c>
    </row>
    <row r="132" s="15" customFormat="1" spans="1:10">
      <c r="A132" s="80" t="s">
        <v>123</v>
      </c>
    </row>
    <row r="133" s="15" customFormat="1" spans="1:10">
      <c r="A133" s="80" t="s">
        <v>124</v>
      </c>
    </row>
    <row r="134" s="15" customFormat="1" spans="1:10">
      <c r="A134" s="80" t="s">
        <v>143</v>
      </c>
    </row>
    <row r="135" s="15" customFormat="1" spans="1:10">
      <c r="A135" s="80" t="s">
        <v>144</v>
      </c>
      <c r="B135" s="18">
        <v>1417196378.42</v>
      </c>
      <c r="C135" s="18">
        <v>1403492137.57</v>
      </c>
      <c r="D135" s="18">
        <v>1361353980.01</v>
      </c>
      <c r="E135" s="18">
        <v>1455419989.84</v>
      </c>
      <c r="F135" s="18">
        <v>1325565399.28</v>
      </c>
      <c r="G135" s="18">
        <v>1192181051.16</v>
      </c>
      <c r="H135" s="18">
        <v>747188734.45</v>
      </c>
      <c r="I135" s="18">
        <v>747188734.45</v>
      </c>
      <c r="J135" s="18">
        <v>779873734.45</v>
      </c>
    </row>
    <row r="136" s="15" customFormat="1" spans="1:10">
      <c r="A136" s="80" t="s">
        <v>145</v>
      </c>
      <c r="B136" s="18">
        <v>49207176.78</v>
      </c>
      <c r="C136" s="18">
        <v>102327166.63</v>
      </c>
      <c r="D136" s="18">
        <v>157639735.76</v>
      </c>
      <c r="E136" s="18">
        <v>222123180.03</v>
      </c>
      <c r="F136" s="18">
        <v>124769970</v>
      </c>
    </row>
    <row r="137" s="15" customFormat="1" spans="1:10">
      <c r="A137" s="80" t="s">
        <v>146</v>
      </c>
    </row>
    <row r="138" s="15" customFormat="1" spans="1:10">
      <c r="A138" s="80" t="s">
        <v>147</v>
      </c>
      <c r="B138" s="18">
        <v>37971816.07</v>
      </c>
      <c r="C138" s="18">
        <v>39188260.47</v>
      </c>
      <c r="D138" s="18">
        <v>40555556.42</v>
      </c>
      <c r="E138" s="18">
        <v>35274701.76</v>
      </c>
      <c r="F138" s="18">
        <v>30966431.78</v>
      </c>
      <c r="G138" s="18">
        <v>26641946.75</v>
      </c>
      <c r="H138" s="18">
        <v>22797510.11</v>
      </c>
      <c r="I138" s="18">
        <v>19354294.01</v>
      </c>
      <c r="J138" s="18">
        <v>16783516.79</v>
      </c>
    </row>
    <row r="139" s="15" customFormat="1" spans="1:10">
      <c r="A139" s="80" t="s">
        <v>148</v>
      </c>
      <c r="B139" s="18">
        <v>288267700</v>
      </c>
      <c r="C139" s="18">
        <v>288267700</v>
      </c>
      <c r="D139" s="18">
        <v>260520480.71</v>
      </c>
      <c r="E139" s="18">
        <v>197875745.89</v>
      </c>
      <c r="F139" s="18">
        <v>151282128.18</v>
      </c>
      <c r="G139" s="18">
        <v>104486618.09</v>
      </c>
      <c r="H139" s="18">
        <v>76771679.66</v>
      </c>
      <c r="I139" s="18">
        <v>59756931.62</v>
      </c>
      <c r="J139" s="18">
        <v>46237949.41</v>
      </c>
    </row>
    <row r="140" s="15" customFormat="1" spans="1:10">
      <c r="A140" s="80" t="s">
        <v>149</v>
      </c>
    </row>
    <row r="141" s="15" customFormat="1" spans="1:10">
      <c r="A141" s="80" t="s">
        <v>150</v>
      </c>
    </row>
    <row r="142" s="15" customFormat="1" spans="1:10">
      <c r="A142" s="80" t="s">
        <v>151</v>
      </c>
      <c r="B142" s="18">
        <v>2193403508.42</v>
      </c>
      <c r="C142" s="18">
        <v>2336761461.08</v>
      </c>
      <c r="D142" s="18">
        <v>1933101621.49</v>
      </c>
      <c r="E142" s="18">
        <v>1491360886.61</v>
      </c>
      <c r="F142" s="18">
        <v>1176867252.64</v>
      </c>
      <c r="G142" s="18">
        <v>949001195.66</v>
      </c>
      <c r="H142" s="18">
        <v>803660183.82</v>
      </c>
      <c r="I142" s="18">
        <v>576199195.59</v>
      </c>
      <c r="J142" s="18">
        <v>481816474.39</v>
      </c>
    </row>
    <row r="143" s="15" customFormat="1" spans="1:10">
      <c r="A143" s="80" t="s">
        <v>152</v>
      </c>
    </row>
    <row r="144" s="15" customFormat="1" spans="1:10">
      <c r="A144" s="80" t="s">
        <v>153</v>
      </c>
    </row>
    <row r="145" s="15" customFormat="1" spans="1:10">
      <c r="A145" s="80" t="s">
        <v>154</v>
      </c>
    </row>
    <row r="146" s="15" customFormat="1" spans="1:10">
      <c r="A146" s="80" t="s">
        <v>155</v>
      </c>
    </row>
    <row r="147" s="15" customFormat="1" ht="13" spans="1:10">
      <c r="A147" s="82" t="s">
        <v>156</v>
      </c>
      <c r="B147" s="19">
        <v>4464089226.13</v>
      </c>
      <c r="C147" s="19">
        <v>4542064792.49</v>
      </c>
      <c r="D147" s="19">
        <v>4014575002.87</v>
      </c>
      <c r="E147" s="19">
        <v>3369724644.07</v>
      </c>
      <c r="F147" s="19">
        <v>2971650741.88</v>
      </c>
      <c r="G147" s="19">
        <v>2672345811.66</v>
      </c>
      <c r="H147" s="19">
        <v>2009953108.04</v>
      </c>
      <c r="I147" s="19">
        <v>1762034155.67</v>
      </c>
      <c r="J147" s="19">
        <v>1651561675.04</v>
      </c>
    </row>
    <row r="148" s="15" customFormat="1" spans="1:10">
      <c r="A148" s="80" t="s">
        <v>157</v>
      </c>
    </row>
    <row r="149" s="15" customFormat="1" spans="1:10">
      <c r="A149" s="80" t="s">
        <v>158</v>
      </c>
    </row>
    <row r="150" s="15" customFormat="1" spans="1:10">
      <c r="A150" s="80" t="s">
        <v>159</v>
      </c>
    </row>
    <row r="151" s="15" customFormat="1" ht="13" spans="1:10">
      <c r="A151" s="82" t="s">
        <v>160</v>
      </c>
      <c r="B151" s="19">
        <v>4464089226.13</v>
      </c>
      <c r="C151" s="19">
        <v>4542064792.49</v>
      </c>
      <c r="D151" s="19">
        <v>4014575002.87</v>
      </c>
      <c r="E151" s="19">
        <v>3369724644.07</v>
      </c>
      <c r="F151" s="19">
        <v>2971650741.88</v>
      </c>
      <c r="G151" s="19">
        <v>2672345811.66</v>
      </c>
      <c r="H151" s="19">
        <v>2009953108.04</v>
      </c>
      <c r="I151" s="19">
        <v>1762034155.67</v>
      </c>
      <c r="J151" s="19">
        <v>1651561675.04</v>
      </c>
    </row>
    <row r="152" s="15" customFormat="1" spans="1:10">
      <c r="A152" s="80" t="s">
        <v>161</v>
      </c>
    </row>
    <row r="153" s="15" customFormat="1" spans="1:10">
      <c r="A153" s="80" t="s">
        <v>162</v>
      </c>
    </row>
    <row r="154" s="15" customFormat="1" ht="13" spans="1:10">
      <c r="A154" s="82" t="s">
        <v>163</v>
      </c>
      <c r="B154" s="19">
        <v>8672531611.61</v>
      </c>
      <c r="C154" s="19">
        <v>8628787997.62</v>
      </c>
      <c r="D154" s="19">
        <v>7976614493.93</v>
      </c>
      <c r="E154" s="19">
        <v>5950736130.14</v>
      </c>
      <c r="F154" s="19">
        <v>5246920436.11</v>
      </c>
      <c r="G154" s="19">
        <v>4677192093.51</v>
      </c>
      <c r="H154" s="19">
        <v>3570534119.74</v>
      </c>
      <c r="I154" s="19">
        <v>2922308438.78</v>
      </c>
      <c r="J154" s="19">
        <v>2546084184.33</v>
      </c>
    </row>
    <row r="155" s="15" customFormat="1" spans="1:10">
      <c r="A155" s="80" t="s">
        <v>164</v>
      </c>
      <c r="B155" s="18">
        <v>1</v>
      </c>
      <c r="C155" s="18">
        <v>1</v>
      </c>
      <c r="D155" s="18">
        <v>1</v>
      </c>
      <c r="E155" s="18">
        <v>1</v>
      </c>
      <c r="F155" s="18">
        <v>1</v>
      </c>
      <c r="G155" s="18">
        <v>1</v>
      </c>
      <c r="H155" s="18">
        <v>1</v>
      </c>
      <c r="I155" s="18">
        <v>1</v>
      </c>
      <c r="J155" s="18">
        <v>1</v>
      </c>
    </row>
    <row r="156" s="15" customFormat="1" spans="1:10">
      <c r="A156" s="80" t="s">
        <v>165</v>
      </c>
      <c r="B156" s="15" t="s">
        <v>166</v>
      </c>
      <c r="C156" s="15" t="s">
        <v>167</v>
      </c>
      <c r="D156" s="15" t="s">
        <v>168</v>
      </c>
      <c r="E156" s="15" t="s">
        <v>169</v>
      </c>
      <c r="F156" s="15" t="s">
        <v>170</v>
      </c>
      <c r="G156" s="15" t="s">
        <v>171</v>
      </c>
      <c r="H156" s="15" t="s">
        <v>172</v>
      </c>
      <c r="I156" s="15" t="s">
        <v>173</v>
      </c>
      <c r="J156" s="15" t="s">
        <v>174</v>
      </c>
    </row>
    <row r="157" s="15" customFormat="1" spans="1:10">
      <c r="A157" s="80" t="s">
        <v>175</v>
      </c>
      <c r="B157" s="15" t="s">
        <v>176</v>
      </c>
      <c r="C157" s="15" t="s">
        <v>176</v>
      </c>
      <c r="D157" s="15" t="s">
        <v>176</v>
      </c>
      <c r="E157" s="15" t="s">
        <v>176</v>
      </c>
      <c r="F157" s="15" t="s">
        <v>176</v>
      </c>
      <c r="G157" s="15" t="s">
        <v>176</v>
      </c>
      <c r="H157" s="15" t="s">
        <v>177</v>
      </c>
      <c r="I157" s="15" t="s">
        <v>177</v>
      </c>
      <c r="J157" s="15" t="s">
        <v>177</v>
      </c>
    </row>
    <row r="158" s="15" customFormat="1" spans="1:10">
      <c r="A158" s="80" t="s">
        <v>178</v>
      </c>
      <c r="B158" s="15" t="s">
        <v>179</v>
      </c>
      <c r="C158" s="15" t="s">
        <v>179</v>
      </c>
      <c r="D158" s="15" t="s">
        <v>179</v>
      </c>
      <c r="E158" s="15" t="s">
        <v>179</v>
      </c>
      <c r="F158" s="15" t="s">
        <v>179</v>
      </c>
      <c r="G158" s="15" t="s">
        <v>179</v>
      </c>
      <c r="H158" s="15" t="s">
        <v>179</v>
      </c>
      <c r="I158" s="15" t="s">
        <v>179</v>
      </c>
      <c r="J158" s="15" t="s">
        <v>179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4"/>
  <sheetViews>
    <sheetView topLeftCell="A18" workbookViewId="0">
      <selection activeCell="C31" sqref="C31"/>
    </sheetView>
  </sheetViews>
  <sheetFormatPr defaultColWidth="98.9090909090909" defaultRowHeight="14" outlineLevelCol="4"/>
  <cols>
    <col min="1" max="1" width="15.3636363636364" customWidth="1"/>
    <col min="2" max="2" width="20.8181818181818" customWidth="1"/>
    <col min="3" max="3" width="75.6363636363636" customWidth="1"/>
    <col min="4" max="4" width="15.2727272727273" customWidth="1"/>
    <col min="5" max="5" width="60.9090909090909" customWidth="1"/>
    <col min="6" max="16384" width="98.9090909090909" customWidth="1"/>
  </cols>
  <sheetData>
    <row r="1" spans="1:5">
      <c r="A1" s="64" t="s">
        <v>180</v>
      </c>
      <c r="B1" s="64" t="s">
        <v>181</v>
      </c>
      <c r="C1" s="64" t="s">
        <v>182</v>
      </c>
    </row>
    <row r="2" spans="1:5">
      <c r="A2" s="64" t="s">
        <v>183</v>
      </c>
      <c r="B2" s="65"/>
      <c r="C2" s="65"/>
    </row>
    <row r="3" spans="1:5">
      <c r="A3" s="65" t="s">
        <v>184</v>
      </c>
      <c r="B3" s="1">
        <v>5626155929.05</v>
      </c>
      <c r="C3" s="65" t="s">
        <v>185</v>
      </c>
    </row>
    <row r="4" spans="1:5">
      <c r="A4" s="64" t="s">
        <v>186</v>
      </c>
      <c r="B4" s="65"/>
      <c r="C4" s="65"/>
    </row>
    <row r="5" ht="27" spans="1:5">
      <c r="A5" s="65" t="s">
        <v>187</v>
      </c>
      <c r="B5" s="66">
        <v>0.02</v>
      </c>
      <c r="C5" s="65" t="s">
        <v>188</v>
      </c>
    </row>
    <row r="6" spans="1:5">
      <c r="A6" s="64" t="s">
        <v>189</v>
      </c>
      <c r="B6" s="65"/>
      <c r="C6" s="65"/>
    </row>
    <row r="7" spans="1:5">
      <c r="A7" s="65" t="s">
        <v>190</v>
      </c>
      <c r="B7" s="67">
        <f>B3*B5</f>
        <v>112523118.581</v>
      </c>
      <c r="C7" s="65" t="s">
        <v>191</v>
      </c>
    </row>
    <row r="8" spans="1:5">
      <c r="A8" s="65" t="s">
        <v>192</v>
      </c>
      <c r="B8" s="67">
        <f>[2]原资产负债表!C6-B7</f>
        <v>1878730314.549</v>
      </c>
      <c r="C8" s="65" t="s">
        <v>193</v>
      </c>
    </row>
    <row r="12" spans="1:5">
      <c r="A12" s="64" t="s">
        <v>194</v>
      </c>
      <c r="B12" s="64" t="s">
        <v>195</v>
      </c>
      <c r="C12" s="64" t="s">
        <v>196</v>
      </c>
      <c r="D12" s="68" t="s">
        <v>197</v>
      </c>
      <c r="E12" s="64" t="s">
        <v>198</v>
      </c>
    </row>
    <row r="13" spans="1:5">
      <c r="A13" s="64" t="s">
        <v>199</v>
      </c>
      <c r="B13" s="64" t="s">
        <v>200</v>
      </c>
      <c r="C13" s="69" t="s">
        <v>201</v>
      </c>
      <c r="D13" s="67">
        <f>[2]Inputs!B7</f>
        <v>112523118.581</v>
      </c>
      <c r="E13" s="65" t="s">
        <v>202</v>
      </c>
    </row>
    <row r="14" spans="1:5">
      <c r="A14" s="65"/>
      <c r="B14" s="64" t="s">
        <v>203</v>
      </c>
      <c r="C14" s="69" t="s">
        <v>204</v>
      </c>
      <c r="D14" s="67"/>
      <c r="E14" s="65" t="s">
        <v>205</v>
      </c>
    </row>
    <row r="15" spans="1:5">
      <c r="A15" s="65"/>
      <c r="B15" s="64" t="s">
        <v>206</v>
      </c>
      <c r="C15" s="69" t="s">
        <v>207</v>
      </c>
      <c r="D15" s="67"/>
      <c r="E15" s="65" t="s">
        <v>208</v>
      </c>
    </row>
    <row r="16" spans="1:5">
      <c r="A16" s="65"/>
      <c r="B16" s="64" t="s">
        <v>209</v>
      </c>
      <c r="C16" s="69" t="s">
        <v>210</v>
      </c>
      <c r="D16" s="67"/>
      <c r="E16" s="70" t="s">
        <v>211</v>
      </c>
    </row>
    <row r="17" spans="1:5">
      <c r="A17" s="65"/>
      <c r="B17" s="64" t="s">
        <v>212</v>
      </c>
      <c r="C17" s="69" t="s">
        <v>213</v>
      </c>
      <c r="D17" s="67"/>
      <c r="E17" s="65" t="s">
        <v>214</v>
      </c>
    </row>
    <row r="18" spans="1:5">
      <c r="A18" s="65"/>
      <c r="B18" s="64" t="s">
        <v>215</v>
      </c>
      <c r="C18" s="69" t="s">
        <v>216</v>
      </c>
      <c r="D18" s="67"/>
      <c r="E18" s="65" t="s">
        <v>217</v>
      </c>
    </row>
    <row r="19" spans="1:5">
      <c r="A19" s="65"/>
      <c r="B19" s="64" t="s">
        <v>218</v>
      </c>
      <c r="C19" s="69" t="s">
        <v>219</v>
      </c>
      <c r="D19" s="67"/>
      <c r="E19" s="65" t="s">
        <v>220</v>
      </c>
    </row>
    <row r="20" spans="1:5">
      <c r="A20" s="65"/>
      <c r="B20" s="64" t="s">
        <v>221</v>
      </c>
      <c r="C20" s="69" t="s">
        <v>222</v>
      </c>
      <c r="D20" s="67"/>
      <c r="E20" s="65" t="s">
        <v>223</v>
      </c>
    </row>
    <row r="21" spans="1:5">
      <c r="A21" s="65"/>
      <c r="B21" s="64" t="s">
        <v>224</v>
      </c>
      <c r="C21" s="67" t="s">
        <v>225</v>
      </c>
      <c r="D21" s="67"/>
      <c r="E21" s="64" t="s">
        <v>226</v>
      </c>
    </row>
    <row r="22" spans="1:5">
      <c r="A22" s="65"/>
      <c r="B22" s="65"/>
      <c r="C22" s="65"/>
      <c r="D22" s="65"/>
      <c r="E22" s="65"/>
    </row>
    <row r="23" spans="1:5">
      <c r="A23" s="64" t="s">
        <v>227</v>
      </c>
      <c r="B23" s="64" t="s">
        <v>228</v>
      </c>
      <c r="C23" s="67" t="s">
        <v>229</v>
      </c>
      <c r="D23" s="67"/>
      <c r="E23" s="65" t="s">
        <v>230</v>
      </c>
    </row>
    <row r="24" spans="1:5">
      <c r="A24" s="65"/>
      <c r="B24" s="64" t="s">
        <v>231</v>
      </c>
      <c r="C24" s="67" t="s">
        <v>232</v>
      </c>
      <c r="D24" s="67"/>
      <c r="E24" s="65" t="s">
        <v>233</v>
      </c>
    </row>
    <row r="25" spans="1:5">
      <c r="A25" s="65"/>
      <c r="B25" s="64" t="s">
        <v>234</v>
      </c>
      <c r="C25" s="67" t="s">
        <v>235</v>
      </c>
      <c r="D25" s="67"/>
      <c r="E25" s="65" t="s">
        <v>236</v>
      </c>
    </row>
    <row r="26" spans="1:5">
      <c r="A26" s="65"/>
      <c r="B26" s="64" t="s">
        <v>237</v>
      </c>
      <c r="C26" s="67" t="s">
        <v>238</v>
      </c>
      <c r="D26" s="67"/>
      <c r="E26" s="65" t="s">
        <v>239</v>
      </c>
    </row>
    <row r="27" spans="1:5">
      <c r="A27" s="65"/>
      <c r="B27" s="64" t="s">
        <v>240</v>
      </c>
      <c r="C27" s="67" t="s">
        <v>241</v>
      </c>
      <c r="D27" s="67"/>
      <c r="E27" s="64" t="s">
        <v>242</v>
      </c>
    </row>
    <row r="28" spans="1:5">
      <c r="A28" s="65"/>
      <c r="B28" s="65"/>
      <c r="C28" s="65"/>
      <c r="D28" s="65"/>
      <c r="E28" s="65"/>
    </row>
    <row r="29" spans="1:5">
      <c r="A29" s="64" t="s">
        <v>243</v>
      </c>
      <c r="B29" s="64" t="s">
        <v>244</v>
      </c>
      <c r="C29" s="67" t="s">
        <v>245</v>
      </c>
      <c r="D29" s="67"/>
      <c r="E29" s="64" t="s">
        <v>246</v>
      </c>
    </row>
    <row r="30" spans="1:5">
      <c r="A30" s="1"/>
      <c r="B30" s="1"/>
      <c r="C30" s="1"/>
      <c r="D30" s="1"/>
      <c r="E30" s="1"/>
    </row>
    <row r="31" ht="202.5" spans="1:5">
      <c r="A31" s="71" t="s">
        <v>247</v>
      </c>
      <c r="B31" s="1"/>
      <c r="C31" s="1"/>
      <c r="D31" s="1"/>
      <c r="E31" s="1"/>
    </row>
    <row r="34" spans="1:5">
      <c r="A34" s="72" t="s">
        <v>194</v>
      </c>
      <c r="B34" s="72" t="s">
        <v>195</v>
      </c>
      <c r="C34" s="72" t="s">
        <v>196</v>
      </c>
      <c r="E34" s="72" t="s">
        <v>198</v>
      </c>
    </row>
    <row r="35" spans="1:5">
      <c r="A35" s="72" t="s">
        <v>248</v>
      </c>
      <c r="B35" s="72" t="s">
        <v>249</v>
      </c>
      <c r="C35" s="73" t="e" cm="1">
        <f t="array" ref="C35">短期借款+交易性金融负债+应付短期债券+拆入资金+卖出回购金融资产款</f>
        <v>#NAME?</v>
      </c>
      <c r="E35" s="74" t="s">
        <v>250</v>
      </c>
    </row>
    <row r="36" spans="1:5">
      <c r="A36" s="74"/>
      <c r="B36" s="72" t="s">
        <v>251</v>
      </c>
      <c r="C36" s="73" t="e" cm="1">
        <f t="array" ref="C36">长期借款+应付债券+长期应付款(融资性质)</f>
        <v>#NAME?</v>
      </c>
      <c r="E36" s="74" t="s">
        <v>252</v>
      </c>
    </row>
    <row r="37" spans="1:5">
      <c r="A37" s="74"/>
      <c r="B37" s="72" t="s">
        <v>253</v>
      </c>
      <c r="C37" s="73" t="e" cm="1">
        <f t="array" ref="C37">租赁负债+一年内到期的非流动负债(租赁部分)</f>
        <v>#NAME?</v>
      </c>
      <c r="E37" s="74" t="s">
        <v>254</v>
      </c>
    </row>
    <row r="38" spans="1:5">
      <c r="A38" s="74"/>
      <c r="B38" s="72" t="s">
        <v>255</v>
      </c>
      <c r="C38" s="73" t="e" cm="1">
        <f t="array" ref="C38">一年内到期的非流动负债(借款部分)+应付利息</f>
        <v>#NAME?</v>
      </c>
      <c r="E38" s="74" t="s">
        <v>256</v>
      </c>
    </row>
    <row r="39" spans="1:5">
      <c r="A39" s="74"/>
      <c r="B39" s="72" t="s">
        <v>257</v>
      </c>
      <c r="C39" s="73" t="e" cm="1">
        <f t="array" ref="C39">应付债券下的优先股/永续债</f>
        <v>#NAME?</v>
      </c>
      <c r="E39" s="75" t="s">
        <v>258</v>
      </c>
    </row>
    <row r="40" spans="1:5">
      <c r="A40" s="74"/>
      <c r="B40" s="72" t="s">
        <v>259</v>
      </c>
      <c r="C40" s="73" t="s">
        <v>260</v>
      </c>
      <c r="E40" s="72" t="s">
        <v>261</v>
      </c>
    </row>
    <row r="41" spans="1:5">
      <c r="A41" s="74"/>
      <c r="B41" s="74"/>
      <c r="C41" s="74"/>
      <c r="E41" s="74"/>
    </row>
    <row r="42" spans="1:5">
      <c r="A42" s="72" t="s">
        <v>262</v>
      </c>
      <c r="B42" s="72" t="s">
        <v>263</v>
      </c>
      <c r="C42" s="73" t="e" cm="1">
        <f t="array" ref="C42">[1]!B8 (来自假设页)</f>
        <v>#NAME?</v>
      </c>
      <c r="E42" s="74" t="s">
        <v>264</v>
      </c>
    </row>
    <row r="43" spans="1:5">
      <c r="A43" s="74"/>
      <c r="B43" s="72" t="s">
        <v>265</v>
      </c>
      <c r="C43" s="73" t="e" cm="1">
        <f t="array" ref="C43">交易性金融资产+衍生金融资产+买入返售金融资产</f>
        <v>#NAME?</v>
      </c>
      <c r="E43" s="74" t="s">
        <v>266</v>
      </c>
    </row>
    <row r="44" spans="1:5">
      <c r="A44" s="74"/>
      <c r="B44" s="72" t="s">
        <v>267</v>
      </c>
      <c r="C44" s="73" t="e" cm="1">
        <f t="array" ref="C44">债权投资+其他债权投资+发放委托贷款及垫款+拆出资金</f>
        <v>#NAME?</v>
      </c>
      <c r="E44" s="74" t="s">
        <v>268</v>
      </c>
    </row>
    <row r="45" spans="1:5">
      <c r="A45" s="74"/>
      <c r="B45" s="72" t="s">
        <v>269</v>
      </c>
      <c r="C45" s="73" t="e" cm="1">
        <f t="array" ref="C45">投资性房地产</f>
        <v>#NAME?</v>
      </c>
      <c r="E45" s="75" t="s">
        <v>270</v>
      </c>
    </row>
    <row r="46" spans="1:5">
      <c r="A46" s="74"/>
      <c r="B46" s="72" t="s">
        <v>271</v>
      </c>
      <c r="C46" s="73" t="e" cm="1">
        <f t="array" ref="C46">其他权益工具投资+其他非流动金融资产+应收利息+应收股利</f>
        <v>#NAME?</v>
      </c>
      <c r="E46" s="74" t="s">
        <v>272</v>
      </c>
    </row>
    <row r="47" spans="1:5">
      <c r="A47" s="74"/>
      <c r="B47" s="72" t="s">
        <v>273</v>
      </c>
      <c r="C47" s="73" t="s">
        <v>274</v>
      </c>
      <c r="E47" s="72" t="s">
        <v>275</v>
      </c>
    </row>
    <row r="48" spans="1:5">
      <c r="A48" s="74"/>
      <c r="B48" s="74"/>
      <c r="C48" s="74"/>
      <c r="E48" s="74"/>
    </row>
    <row r="49" spans="1:5">
      <c r="A49" s="72" t="s">
        <v>243</v>
      </c>
      <c r="B49" s="72" t="s">
        <v>276</v>
      </c>
      <c r="C49" s="73" t="e" cm="1">
        <f t="array" ref="C49">FL合计-FA合计</f>
        <v>#NAME?</v>
      </c>
      <c r="E49" s="72" t="s">
        <v>277</v>
      </c>
    </row>
    <row r="58" spans="1:5">
      <c r="A58" s="76" t="s">
        <v>194</v>
      </c>
      <c r="B58" s="76" t="s">
        <v>195</v>
      </c>
      <c r="C58" s="76" t="s">
        <v>196</v>
      </c>
      <c r="E58" s="76" t="s">
        <v>198</v>
      </c>
    </row>
    <row r="59" spans="1:5">
      <c r="A59" s="76" t="s">
        <v>278</v>
      </c>
      <c r="B59" s="76" t="s">
        <v>279</v>
      </c>
      <c r="C59" s="77" t="e" cm="1">
        <f t="array" ref="C59">归属于母公司股东权益合计</f>
        <v>#NAME?</v>
      </c>
      <c r="E59" s="78" t="s">
        <v>280</v>
      </c>
    </row>
    <row r="60" spans="1:5">
      <c r="A60" s="78"/>
      <c r="B60" s="76" t="s">
        <v>281</v>
      </c>
      <c r="C60" s="77" t="e" cm="1">
        <f t="array" ref="C60">少数股东权益</f>
        <v>#NAME?</v>
      </c>
      <c r="E60" s="78" t="s">
        <v>282</v>
      </c>
    </row>
    <row r="61" ht="27" spans="1:5">
      <c r="A61" s="78"/>
      <c r="B61" s="76" t="s">
        <v>283</v>
      </c>
      <c r="C61" s="77" t="e" cm="1">
        <f t="array" ref="C61">应付股利</f>
        <v>#NAME?</v>
      </c>
      <c r="E61" s="79" t="s">
        <v>284</v>
      </c>
    </row>
    <row r="62" spans="1:5">
      <c r="A62" s="78"/>
      <c r="B62" s="76" t="s">
        <v>285</v>
      </c>
      <c r="C62" s="77" t="e" cm="1">
        <f t="array" ref="C62">项1+项2+项3</f>
        <v>#NAME?</v>
      </c>
      <c r="E62" s="76" t="s">
        <v>286</v>
      </c>
    </row>
    <row r="63" spans="1:5">
      <c r="A63" s="78"/>
      <c r="B63" s="78"/>
      <c r="C63" s="78"/>
      <c r="E63" s="78"/>
    </row>
    <row r="64" spans="1:5">
      <c r="A64" s="76" t="s">
        <v>287</v>
      </c>
      <c r="B64" s="76" t="s">
        <v>288</v>
      </c>
      <c r="C64" s="77" t="e" cm="1">
        <f t="array" ref="C64">NOA-NFO-CSE</f>
        <v>#NAME?</v>
      </c>
      <c r="E64" s="76" t="s">
        <v>289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1"/>
  <sheetViews>
    <sheetView workbookViewId="0">
      <selection activeCell="C36" sqref="C36"/>
    </sheetView>
  </sheetViews>
  <sheetFormatPr defaultColWidth="8.72727272727273" defaultRowHeight="14" outlineLevelCol="3"/>
  <cols>
    <col min="1" max="1" width="30.5454545454545" style="1" customWidth="1"/>
    <col min="2" max="2" width="52.9090909090909" style="1" customWidth="1"/>
    <col min="3" max="3" width="83" style="1" customWidth="1"/>
    <col min="4" max="4" width="46.1818181818182" style="1" customWidth="1"/>
    <col min="5" max="16384" width="8.72727272727273" style="1"/>
  </cols>
  <sheetData>
    <row r="1" s="1" customFormat="1" spans="1:4">
      <c r="A1" s="60" t="s">
        <v>290</v>
      </c>
      <c r="B1" s="60" t="s">
        <v>291</v>
      </c>
      <c r="C1" s="60" t="s">
        <v>292</v>
      </c>
      <c r="D1" s="60" t="s">
        <v>293</v>
      </c>
    </row>
    <row r="2" s="1" customFormat="1" spans="1:4">
      <c r="A2" s="61" t="s">
        <v>294</v>
      </c>
      <c r="B2" s="60"/>
      <c r="C2" s="60"/>
      <c r="D2" s="60"/>
    </row>
    <row r="3" s="1" customFormat="1" ht="28" spans="1:4">
      <c r="A3" s="53" t="s">
        <v>295</v>
      </c>
      <c r="B3" s="53" t="s">
        <v>296</v>
      </c>
      <c r="C3" s="53" t="s">
        <v>297</v>
      </c>
      <c r="D3" s="62" t="s">
        <v>298</v>
      </c>
    </row>
    <row r="4" s="1" customFormat="1" ht="28" spans="1:4">
      <c r="A4" s="53" t="s">
        <v>299</v>
      </c>
      <c r="B4" s="53" t="s">
        <v>300</v>
      </c>
      <c r="C4" s="53" t="s">
        <v>301</v>
      </c>
      <c r="D4" s="62" t="s">
        <v>302</v>
      </c>
    </row>
    <row r="5" s="1" customFormat="1" spans="1:4">
      <c r="A5" s="53" t="s">
        <v>303</v>
      </c>
      <c r="B5" s="53" t="s">
        <v>304</v>
      </c>
      <c r="C5" s="53" t="s">
        <v>305</v>
      </c>
      <c r="D5" s="62" t="s">
        <v>306</v>
      </c>
    </row>
    <row r="6" s="1" customFormat="1" spans="1:4">
      <c r="A6" s="53" t="s">
        <v>307</v>
      </c>
      <c r="B6" s="53" t="s">
        <v>308</v>
      </c>
      <c r="C6" s="53" t="s">
        <v>309</v>
      </c>
      <c r="D6" s="62" t="s">
        <v>310</v>
      </c>
    </row>
    <row r="7" s="1" customFormat="1" spans="1:4">
      <c r="A7" s="53" t="s">
        <v>311</v>
      </c>
      <c r="B7" s="53" t="s">
        <v>312</v>
      </c>
      <c r="C7" s="53" t="s">
        <v>313</v>
      </c>
      <c r="D7" s="62" t="s">
        <v>314</v>
      </c>
    </row>
    <row r="8" s="1" customFormat="1" ht="28" spans="1:4">
      <c r="A8" s="53" t="s">
        <v>315</v>
      </c>
      <c r="B8" s="53" t="s">
        <v>316</v>
      </c>
      <c r="C8" s="53" t="s">
        <v>317</v>
      </c>
      <c r="D8" s="62" t="s">
        <v>318</v>
      </c>
    </row>
    <row r="9" s="1" customFormat="1" spans="1:4">
      <c r="A9" s="53" t="s">
        <v>319</v>
      </c>
      <c r="B9" s="53" t="s">
        <v>320</v>
      </c>
      <c r="C9" s="53" t="s">
        <v>321</v>
      </c>
      <c r="D9" s="62" t="s">
        <v>322</v>
      </c>
    </row>
    <row r="10" s="1" customFormat="1" ht="28" spans="1:4">
      <c r="A10" s="53" t="s">
        <v>323</v>
      </c>
      <c r="B10" s="53" t="s">
        <v>324</v>
      </c>
      <c r="C10" s="53" t="s">
        <v>325</v>
      </c>
      <c r="D10" s="62" t="s">
        <v>326</v>
      </c>
    </row>
    <row r="11" s="1" customFormat="1" spans="1:4">
      <c r="A11" s="53" t="s">
        <v>327</v>
      </c>
      <c r="B11" s="53" t="s">
        <v>328</v>
      </c>
      <c r="C11" s="53" t="s">
        <v>329</v>
      </c>
      <c r="D11" s="62" t="s">
        <v>322</v>
      </c>
    </row>
    <row r="12" s="1" customFormat="1" ht="28" spans="1:4">
      <c r="A12" s="53" t="s">
        <v>330</v>
      </c>
      <c r="B12" s="53" t="s">
        <v>331</v>
      </c>
      <c r="C12" s="53" t="s">
        <v>332</v>
      </c>
      <c r="D12" s="62" t="s">
        <v>333</v>
      </c>
    </row>
    <row r="13" s="1" customFormat="1" spans="1:4">
      <c r="A13" s="53" t="s">
        <v>334</v>
      </c>
      <c r="B13" s="53" t="s">
        <v>335</v>
      </c>
      <c r="C13" s="53" t="s">
        <v>336</v>
      </c>
      <c r="D13" s="62" t="s">
        <v>322</v>
      </c>
    </row>
    <row r="14" s="1" customFormat="1" ht="28" spans="1:4">
      <c r="A14" s="53" t="s">
        <v>337</v>
      </c>
      <c r="B14" s="53" t="s">
        <v>338</v>
      </c>
      <c r="C14" s="53" t="s">
        <v>339</v>
      </c>
      <c r="D14" s="62" t="s">
        <v>340</v>
      </c>
    </row>
    <row r="15" s="1" customFormat="1" spans="1:4">
      <c r="A15" s="53" t="s">
        <v>341</v>
      </c>
      <c r="B15" s="53" t="s">
        <v>342</v>
      </c>
      <c r="C15" s="53" t="s">
        <v>343</v>
      </c>
      <c r="D15" s="62" t="s">
        <v>344</v>
      </c>
    </row>
    <row r="16" s="1" customFormat="1" spans="1:4">
      <c r="A16" s="53" t="s">
        <v>345</v>
      </c>
      <c r="B16" s="53" t="s">
        <v>346</v>
      </c>
      <c r="C16" s="53" t="s">
        <v>347</v>
      </c>
      <c r="D16" s="62" t="s">
        <v>344</v>
      </c>
    </row>
    <row r="17" s="1" customFormat="1" ht="28" spans="1:4">
      <c r="A17" s="53" t="s">
        <v>348</v>
      </c>
      <c r="B17" s="53" t="s">
        <v>349</v>
      </c>
      <c r="C17" s="53" t="s">
        <v>350</v>
      </c>
      <c r="D17" s="62" t="s">
        <v>351</v>
      </c>
    </row>
    <row r="18" s="1" customFormat="1" spans="1:4">
      <c r="A18" s="53" t="s">
        <v>352</v>
      </c>
      <c r="B18" s="53" t="s">
        <v>353</v>
      </c>
      <c r="C18" s="53" t="s">
        <v>354</v>
      </c>
      <c r="D18" s="62" t="s">
        <v>355</v>
      </c>
    </row>
    <row r="19" s="1" customFormat="1" spans="1:4">
      <c r="A19" s="53" t="s">
        <v>356</v>
      </c>
      <c r="B19" s="53" t="s">
        <v>357</v>
      </c>
      <c r="C19" s="53" t="s">
        <v>358</v>
      </c>
      <c r="D19" s="62" t="s">
        <v>359</v>
      </c>
    </row>
    <row r="20" s="1" customFormat="1" ht="28" spans="1:4">
      <c r="A20" s="53" t="s">
        <v>360</v>
      </c>
      <c r="B20" s="53" t="s">
        <v>361</v>
      </c>
      <c r="C20" s="53" t="s">
        <v>362</v>
      </c>
      <c r="D20" s="62" t="s">
        <v>351</v>
      </c>
    </row>
    <row r="21" s="1" customFormat="1" spans="1:4">
      <c r="A21" s="53" t="s">
        <v>363</v>
      </c>
      <c r="B21" s="53" t="s">
        <v>364</v>
      </c>
      <c r="C21" s="53" t="s">
        <v>365</v>
      </c>
      <c r="D21" s="62" t="s">
        <v>322</v>
      </c>
    </row>
    <row r="22" s="1" customFormat="1" ht="28" spans="1:4">
      <c r="A22" s="53" t="s">
        <v>366</v>
      </c>
      <c r="B22" s="53" t="s">
        <v>367</v>
      </c>
      <c r="C22" s="53" t="s">
        <v>368</v>
      </c>
      <c r="D22" s="62" t="s">
        <v>369</v>
      </c>
    </row>
    <row r="23" s="1" customFormat="1" spans="1:4">
      <c r="A23" s="53" t="s">
        <v>370</v>
      </c>
      <c r="B23" s="53" t="s">
        <v>371</v>
      </c>
      <c r="C23" s="53" t="s">
        <v>372</v>
      </c>
      <c r="D23" s="62" t="s">
        <v>351</v>
      </c>
    </row>
    <row r="24" s="1" customFormat="1" spans="1:4">
      <c r="A24" s="53" t="s">
        <v>373</v>
      </c>
      <c r="B24" s="53" t="s">
        <v>374</v>
      </c>
      <c r="C24" s="53" t="s">
        <v>375</v>
      </c>
      <c r="D24" s="62" t="s">
        <v>376</v>
      </c>
    </row>
    <row r="25" s="1" customFormat="1" ht="28" spans="1:4">
      <c r="A25" s="53" t="s">
        <v>377</v>
      </c>
      <c r="B25" s="53" t="s">
        <v>378</v>
      </c>
      <c r="C25" s="53" t="s">
        <v>379</v>
      </c>
      <c r="D25" s="62" t="s">
        <v>380</v>
      </c>
    </row>
    <row r="26" s="1" customFormat="1" ht="28" spans="1:4">
      <c r="A26" s="53" t="s">
        <v>381</v>
      </c>
      <c r="B26" s="53" t="s">
        <v>382</v>
      </c>
      <c r="C26" s="53" t="s">
        <v>383</v>
      </c>
      <c r="D26" s="62" t="s">
        <v>384</v>
      </c>
    </row>
    <row r="27" s="1" customFormat="1" spans="1:4">
      <c r="A27" s="53" t="s">
        <v>385</v>
      </c>
      <c r="B27" s="53" t="s">
        <v>386</v>
      </c>
      <c r="C27" s="53" t="s">
        <v>387</v>
      </c>
      <c r="D27" s="62" t="s">
        <v>322</v>
      </c>
    </row>
    <row r="28" s="1" customFormat="1" spans="1:4">
      <c r="A28" s="53" t="s">
        <v>388</v>
      </c>
      <c r="B28" s="53" t="s">
        <v>389</v>
      </c>
      <c r="C28" s="53" t="s">
        <v>390</v>
      </c>
      <c r="D28" s="62" t="s">
        <v>322</v>
      </c>
    </row>
    <row r="29" s="1" customFormat="1" spans="1:4">
      <c r="A29" s="53" t="s">
        <v>391</v>
      </c>
      <c r="B29" s="53" t="s">
        <v>392</v>
      </c>
      <c r="C29" s="53" t="s">
        <v>393</v>
      </c>
      <c r="D29" s="62" t="s">
        <v>322</v>
      </c>
    </row>
    <row r="30" s="1" customFormat="1" ht="28" spans="1:4">
      <c r="A30" s="53" t="s">
        <v>394</v>
      </c>
      <c r="B30" s="53" t="s">
        <v>395</v>
      </c>
      <c r="C30" s="53" t="s">
        <v>396</v>
      </c>
      <c r="D30" s="62" t="s">
        <v>351</v>
      </c>
    </row>
    <row r="31" s="1" customFormat="1" ht="28" spans="1:4">
      <c r="A31" s="53" t="s">
        <v>397</v>
      </c>
      <c r="B31" s="53" t="s">
        <v>398</v>
      </c>
      <c r="C31" s="53" t="s">
        <v>399</v>
      </c>
      <c r="D31" s="62" t="s">
        <v>351</v>
      </c>
    </row>
    <row r="32" s="1" customFormat="1" spans="1:4">
      <c r="A32" s="53" t="s">
        <v>400</v>
      </c>
      <c r="B32" s="53" t="s">
        <v>401</v>
      </c>
      <c r="C32" s="53" t="s">
        <v>402</v>
      </c>
      <c r="D32" s="62" t="s">
        <v>403</v>
      </c>
    </row>
    <row r="33" s="1" customFormat="1" ht="28" spans="1:4">
      <c r="A33" s="53" t="s">
        <v>404</v>
      </c>
      <c r="B33" s="53" t="s">
        <v>405</v>
      </c>
      <c r="C33" s="53" t="s">
        <v>406</v>
      </c>
      <c r="D33" s="62" t="s">
        <v>351</v>
      </c>
    </row>
    <row r="34" s="1" customFormat="1" spans="1:4">
      <c r="A34" s="53" t="s">
        <v>407</v>
      </c>
      <c r="B34" s="53" t="s">
        <v>408</v>
      </c>
      <c r="C34" s="53" t="s">
        <v>409</v>
      </c>
      <c r="D34" s="62" t="s">
        <v>351</v>
      </c>
    </row>
    <row r="35" s="1" customFormat="1" spans="1:4">
      <c r="A35" s="53" t="s">
        <v>410</v>
      </c>
      <c r="B35" s="53" t="s">
        <v>411</v>
      </c>
      <c r="C35" s="53" t="s">
        <v>412</v>
      </c>
      <c r="D35" s="62" t="s">
        <v>413</v>
      </c>
    </row>
    <row r="36" s="1" customFormat="1" spans="1:4">
      <c r="A36" s="53" t="s">
        <v>414</v>
      </c>
      <c r="B36" s="53" t="s">
        <v>415</v>
      </c>
      <c r="C36" s="53" t="s">
        <v>416</v>
      </c>
      <c r="D36" s="62" t="s">
        <v>417</v>
      </c>
    </row>
    <row r="37" s="1" customFormat="1" spans="1:4">
      <c r="A37" s="63" t="s">
        <v>418</v>
      </c>
    </row>
    <row r="38" s="1" customFormat="1" spans="1:4">
      <c r="A38" s="53" t="s">
        <v>419</v>
      </c>
      <c r="B38" s="53" t="s">
        <v>420</v>
      </c>
      <c r="C38" s="53" t="s">
        <v>421</v>
      </c>
      <c r="D38" s="62" t="s">
        <v>422</v>
      </c>
    </row>
    <row r="39" s="1" customFormat="1" spans="1:4">
      <c r="A39" s="53" t="s">
        <v>423</v>
      </c>
      <c r="B39" s="53" t="s">
        <v>424</v>
      </c>
      <c r="C39" s="53" t="s">
        <v>425</v>
      </c>
      <c r="D39" s="62" t="s">
        <v>426</v>
      </c>
    </row>
    <row r="40" s="1" customFormat="1" ht="28" spans="1:4">
      <c r="A40" s="53" t="s">
        <v>427</v>
      </c>
      <c r="B40" s="53" t="s">
        <v>428</v>
      </c>
      <c r="C40" s="53" t="s">
        <v>429</v>
      </c>
      <c r="D40" s="62" t="s">
        <v>380</v>
      </c>
    </row>
    <row r="41" s="1" customFormat="1" spans="1:4">
      <c r="A41" s="53" t="s">
        <v>430</v>
      </c>
      <c r="B41" s="53" t="s">
        <v>431</v>
      </c>
      <c r="C41" s="53" t="s">
        <v>432</v>
      </c>
      <c r="D41" s="62" t="s">
        <v>426</v>
      </c>
    </row>
    <row r="42" s="1" customFormat="1" ht="42" spans="1:4">
      <c r="A42" s="53" t="s">
        <v>433</v>
      </c>
      <c r="B42" s="53" t="s">
        <v>434</v>
      </c>
      <c r="C42" s="53" t="s">
        <v>435</v>
      </c>
      <c r="D42" s="62" t="s">
        <v>436</v>
      </c>
    </row>
    <row r="43" s="1" customFormat="1" spans="1:4">
      <c r="A43" s="53" t="s">
        <v>437</v>
      </c>
      <c r="B43" s="53" t="s">
        <v>438</v>
      </c>
      <c r="C43" s="53" t="s">
        <v>432</v>
      </c>
      <c r="D43" s="62" t="s">
        <v>426</v>
      </c>
    </row>
    <row r="44" s="1" customFormat="1" spans="1:4">
      <c r="A44" s="53" t="s">
        <v>439</v>
      </c>
      <c r="B44" s="53" t="s">
        <v>440</v>
      </c>
      <c r="C44" s="53" t="s">
        <v>432</v>
      </c>
      <c r="D44" s="62" t="s">
        <v>426</v>
      </c>
    </row>
    <row r="45" s="1" customFormat="1" ht="28" spans="1:4">
      <c r="A45" s="53" t="s">
        <v>441</v>
      </c>
      <c r="B45" s="53" t="s">
        <v>442</v>
      </c>
      <c r="C45" s="53" t="s">
        <v>443</v>
      </c>
      <c r="D45" s="62" t="s">
        <v>351</v>
      </c>
    </row>
    <row r="46" s="1" customFormat="1" ht="28" spans="1:4">
      <c r="A46" s="53" t="s">
        <v>444</v>
      </c>
      <c r="B46" s="53" t="s">
        <v>445</v>
      </c>
      <c r="C46" s="53" t="s">
        <v>446</v>
      </c>
      <c r="D46" s="62" t="s">
        <v>447</v>
      </c>
    </row>
    <row r="47" s="1" customFormat="1" spans="1:4">
      <c r="A47" s="53" t="s">
        <v>448</v>
      </c>
      <c r="B47" s="53" t="s">
        <v>449</v>
      </c>
      <c r="C47" s="53" t="s">
        <v>450</v>
      </c>
      <c r="D47" s="62" t="s">
        <v>451</v>
      </c>
    </row>
    <row r="48" s="1" customFormat="1" ht="28" spans="1:4">
      <c r="A48" s="53" t="s">
        <v>452</v>
      </c>
      <c r="B48" s="53" t="s">
        <v>453</v>
      </c>
      <c r="C48" s="53" t="s">
        <v>454</v>
      </c>
      <c r="D48" s="62" t="s">
        <v>455</v>
      </c>
    </row>
    <row r="49" s="1" customFormat="1" ht="28" spans="1:4">
      <c r="A49" s="53" t="s">
        <v>456</v>
      </c>
      <c r="B49" s="53" t="s">
        <v>457</v>
      </c>
      <c r="C49" s="53" t="s">
        <v>458</v>
      </c>
      <c r="D49" s="62" t="s">
        <v>459</v>
      </c>
    </row>
    <row r="50" s="1" customFormat="1" spans="1:4">
      <c r="A50" s="53" t="s">
        <v>460</v>
      </c>
      <c r="B50" s="53" t="s">
        <v>461</v>
      </c>
      <c r="C50" s="53" t="s">
        <v>462</v>
      </c>
      <c r="D50" s="62" t="s">
        <v>322</v>
      </c>
    </row>
    <row r="51" s="1" customFormat="1" spans="1:4">
      <c r="A51" s="53" t="s">
        <v>463</v>
      </c>
      <c r="B51" s="53" t="s">
        <v>464</v>
      </c>
      <c r="C51" s="53" t="s">
        <v>465</v>
      </c>
      <c r="D51" s="62" t="s">
        <v>322</v>
      </c>
    </row>
    <row r="52" s="1" customFormat="1" spans="1:4">
      <c r="A52" s="53" t="s">
        <v>466</v>
      </c>
      <c r="B52" s="53" t="s">
        <v>467</v>
      </c>
      <c r="C52" s="53" t="s">
        <v>462</v>
      </c>
      <c r="D52" s="62" t="s">
        <v>322</v>
      </c>
    </row>
    <row r="53" s="1" customFormat="1" spans="1:4">
      <c r="A53" s="53" t="s">
        <v>468</v>
      </c>
      <c r="B53" s="53" t="s">
        <v>469</v>
      </c>
      <c r="C53" s="53" t="s">
        <v>470</v>
      </c>
      <c r="D53" s="62" t="s">
        <v>322</v>
      </c>
    </row>
    <row r="54" s="1" customFormat="1" spans="1:4">
      <c r="A54" s="53" t="s">
        <v>471</v>
      </c>
      <c r="B54" s="53" t="s">
        <v>472</v>
      </c>
      <c r="C54" s="53" t="s">
        <v>462</v>
      </c>
      <c r="D54" s="62" t="s">
        <v>322</v>
      </c>
    </row>
    <row r="55" s="1" customFormat="1" spans="1:4">
      <c r="A55" s="53" t="s">
        <v>473</v>
      </c>
      <c r="B55" s="53" t="s">
        <v>474</v>
      </c>
      <c r="C55" s="53" t="s">
        <v>462</v>
      </c>
      <c r="D55" s="62" t="s">
        <v>322</v>
      </c>
    </row>
    <row r="56" s="1" customFormat="1" spans="1:4">
      <c r="A56" s="53" t="s">
        <v>475</v>
      </c>
      <c r="B56" s="53" t="s">
        <v>476</v>
      </c>
      <c r="C56" s="53" t="s">
        <v>477</v>
      </c>
      <c r="D56" s="62" t="s">
        <v>322</v>
      </c>
    </row>
    <row r="57" s="1" customFormat="1" spans="1:4">
      <c r="A57" s="53" t="s">
        <v>478</v>
      </c>
      <c r="B57" s="53" t="s">
        <v>479</v>
      </c>
      <c r="C57" s="53" t="s">
        <v>462</v>
      </c>
      <c r="D57" s="62" t="s">
        <v>322</v>
      </c>
    </row>
    <row r="58" s="1" customFormat="1" spans="1:4">
      <c r="A58" s="53" t="s">
        <v>480</v>
      </c>
      <c r="B58" s="53" t="s">
        <v>481</v>
      </c>
      <c r="C58" s="53" t="s">
        <v>482</v>
      </c>
      <c r="D58" s="62" t="s">
        <v>322</v>
      </c>
    </row>
    <row r="59" s="1" customFormat="1" spans="1:4">
      <c r="A59" s="53" t="s">
        <v>483</v>
      </c>
      <c r="B59" s="53" t="s">
        <v>484</v>
      </c>
      <c r="C59" s="53" t="s">
        <v>485</v>
      </c>
      <c r="D59" s="62" t="s">
        <v>322</v>
      </c>
    </row>
    <row r="60" s="1" customFormat="1" spans="1:4">
      <c r="A60" s="53" t="s">
        <v>486</v>
      </c>
      <c r="B60" s="53" t="s">
        <v>487</v>
      </c>
      <c r="C60" s="53" t="s">
        <v>488</v>
      </c>
      <c r="D60" s="62" t="s">
        <v>322</v>
      </c>
    </row>
    <row r="61" s="1" customFormat="1" spans="1:4">
      <c r="A61" s="53" t="s">
        <v>489</v>
      </c>
      <c r="B61" s="53" t="s">
        <v>490</v>
      </c>
      <c r="C61" s="53" t="s">
        <v>491</v>
      </c>
      <c r="D61" s="62" t="s">
        <v>322</v>
      </c>
    </row>
    <row r="62" s="1" customFormat="1" ht="28" spans="1:4">
      <c r="A62" s="53" t="s">
        <v>492</v>
      </c>
      <c r="B62" s="53" t="s">
        <v>493</v>
      </c>
      <c r="C62" s="53" t="s">
        <v>494</v>
      </c>
      <c r="D62" s="62" t="s">
        <v>351</v>
      </c>
    </row>
    <row r="63" s="1" customFormat="1" spans="1:4">
      <c r="A63" s="53" t="s">
        <v>495</v>
      </c>
      <c r="B63" s="53" t="s">
        <v>496</v>
      </c>
      <c r="C63" s="53" t="s">
        <v>497</v>
      </c>
      <c r="D63" s="62" t="s">
        <v>351</v>
      </c>
    </row>
    <row r="64" s="1" customFormat="1" spans="1:4">
      <c r="A64" s="53" t="s">
        <v>498</v>
      </c>
      <c r="B64" s="53" t="s">
        <v>499</v>
      </c>
      <c r="C64" s="53" t="s">
        <v>500</v>
      </c>
      <c r="D64" s="62" t="s">
        <v>413</v>
      </c>
    </row>
    <row r="65" s="1" customFormat="1" spans="1:4">
      <c r="A65" s="53" t="s">
        <v>501</v>
      </c>
      <c r="B65" s="53" t="s">
        <v>502</v>
      </c>
      <c r="C65" s="53" t="s">
        <v>416</v>
      </c>
      <c r="D65" s="62" t="s">
        <v>417</v>
      </c>
    </row>
    <row r="66" s="1" customFormat="1" spans="1:4">
      <c r="A66" s="53" t="s">
        <v>503</v>
      </c>
      <c r="B66" s="53" t="s">
        <v>504</v>
      </c>
      <c r="C66" s="53" t="s">
        <v>505</v>
      </c>
      <c r="D66" s="62" t="s">
        <v>351</v>
      </c>
    </row>
    <row r="67" s="1" customFormat="1" spans="1:4">
      <c r="A67" s="53" t="s">
        <v>506</v>
      </c>
      <c r="B67" s="53" t="s">
        <v>507</v>
      </c>
      <c r="C67" s="53" t="s">
        <v>508</v>
      </c>
      <c r="D67" s="62" t="s">
        <v>413</v>
      </c>
    </row>
    <row r="68" s="1" customFormat="1" spans="1:4">
      <c r="A68" s="53" t="s">
        <v>509</v>
      </c>
      <c r="B68" s="53" t="s">
        <v>510</v>
      </c>
      <c r="C68" s="53" t="s">
        <v>416</v>
      </c>
      <c r="D68" s="62" t="s">
        <v>511</v>
      </c>
    </row>
    <row r="70" s="1" customFormat="1" spans="1:4">
      <c r="A70" s="63" t="s">
        <v>512</v>
      </c>
    </row>
    <row r="71" s="1" customFormat="1" spans="1:4">
      <c r="A71" s="60" t="s">
        <v>290</v>
      </c>
      <c r="B71" s="60" t="s">
        <v>291</v>
      </c>
      <c r="C71" s="60" t="s">
        <v>292</v>
      </c>
      <c r="D71" s="60" t="s">
        <v>293</v>
      </c>
    </row>
    <row r="72" s="1" customFormat="1" spans="1:4">
      <c r="A72" s="53" t="s">
        <v>513</v>
      </c>
      <c r="B72" s="53" t="s">
        <v>514</v>
      </c>
      <c r="C72" s="53" t="s">
        <v>515</v>
      </c>
      <c r="D72" s="62" t="s">
        <v>516</v>
      </c>
    </row>
    <row r="73" s="1" customFormat="1" spans="1:4">
      <c r="A73" s="53" t="s">
        <v>517</v>
      </c>
      <c r="B73" s="53" t="s">
        <v>518</v>
      </c>
      <c r="C73" s="53" t="s">
        <v>519</v>
      </c>
      <c r="D73" s="62" t="s">
        <v>520</v>
      </c>
    </row>
    <row r="74" s="1" customFormat="1" ht="28" spans="1:4">
      <c r="A74" s="53" t="s">
        <v>521</v>
      </c>
      <c r="B74" s="53" t="s">
        <v>522</v>
      </c>
      <c r="C74" s="53" t="s">
        <v>523</v>
      </c>
      <c r="D74" s="62" t="s">
        <v>524</v>
      </c>
    </row>
    <row r="75" s="1" customFormat="1" spans="1:4">
      <c r="A75" s="53" t="s">
        <v>525</v>
      </c>
      <c r="B75" s="53" t="s">
        <v>526</v>
      </c>
      <c r="C75" s="53" t="s">
        <v>527</v>
      </c>
      <c r="D75" s="62" t="s">
        <v>528</v>
      </c>
    </row>
    <row r="76" s="1" customFormat="1" ht="28" spans="1:4">
      <c r="A76" s="53" t="s">
        <v>529</v>
      </c>
      <c r="B76" s="53" t="s">
        <v>530</v>
      </c>
      <c r="C76" s="53" t="s">
        <v>531</v>
      </c>
      <c r="D76" s="62" t="s">
        <v>532</v>
      </c>
    </row>
    <row r="77" s="1" customFormat="1" ht="28" spans="1:4">
      <c r="A77" s="53" t="s">
        <v>533</v>
      </c>
      <c r="B77" s="53" t="s">
        <v>534</v>
      </c>
      <c r="C77" s="53" t="s">
        <v>535</v>
      </c>
      <c r="D77" s="62" t="s">
        <v>536</v>
      </c>
    </row>
    <row r="78" s="1" customFormat="1" spans="1:4">
      <c r="A78" s="53" t="s">
        <v>537</v>
      </c>
      <c r="B78" s="53" t="s">
        <v>538</v>
      </c>
      <c r="C78" s="53" t="s">
        <v>539</v>
      </c>
      <c r="D78" s="62" t="s">
        <v>540</v>
      </c>
    </row>
    <row r="79" s="1" customFormat="1" spans="1:4">
      <c r="A79" s="53" t="s">
        <v>541</v>
      </c>
      <c r="B79" s="53" t="s">
        <v>542</v>
      </c>
      <c r="C79" s="53" t="s">
        <v>543</v>
      </c>
      <c r="D79" s="62" t="s">
        <v>544</v>
      </c>
    </row>
    <row r="80" s="1" customFormat="1" spans="1:4">
      <c r="A80" s="53" t="s">
        <v>545</v>
      </c>
      <c r="B80" s="53" t="s">
        <v>546</v>
      </c>
      <c r="C80" s="53" t="s">
        <v>547</v>
      </c>
      <c r="D80" s="62" t="s">
        <v>540</v>
      </c>
    </row>
    <row r="81" s="1" customFormat="1" spans="1:4">
      <c r="A81" s="53" t="s">
        <v>548</v>
      </c>
      <c r="B81" s="53" t="s">
        <v>549</v>
      </c>
      <c r="C81" s="53" t="s">
        <v>550</v>
      </c>
      <c r="D81" s="62" t="s">
        <v>540</v>
      </c>
    </row>
    <row r="82" s="1" customFormat="1" spans="1:4">
      <c r="A82" s="53" t="s">
        <v>551</v>
      </c>
      <c r="B82" s="53" t="s">
        <v>552</v>
      </c>
      <c r="C82" s="53" t="s">
        <v>553</v>
      </c>
      <c r="D82" s="62" t="s">
        <v>540</v>
      </c>
    </row>
    <row r="83" s="1" customFormat="1" spans="1:4">
      <c r="A83" s="53" t="s">
        <v>554</v>
      </c>
      <c r="B83" s="53" t="s">
        <v>555</v>
      </c>
      <c r="C83" s="53" t="s">
        <v>556</v>
      </c>
      <c r="D83" s="62" t="s">
        <v>532</v>
      </c>
    </row>
    <row r="84" s="1" customFormat="1" spans="1:4">
      <c r="A84" s="53" t="s">
        <v>557</v>
      </c>
      <c r="B84" s="53" t="s">
        <v>558</v>
      </c>
      <c r="C84" s="53" t="s">
        <v>559</v>
      </c>
      <c r="D84" s="62" t="s">
        <v>560</v>
      </c>
    </row>
    <row r="85" s="1" customFormat="1" spans="1:4">
      <c r="A85" s="53" t="s">
        <v>561</v>
      </c>
      <c r="B85" s="53" t="s">
        <v>562</v>
      </c>
      <c r="C85" s="53" t="s">
        <v>563</v>
      </c>
      <c r="D85" s="62" t="s">
        <v>540</v>
      </c>
    </row>
    <row r="86" s="1" customFormat="1" spans="1:4">
      <c r="A86" s="53" t="s">
        <v>564</v>
      </c>
      <c r="B86" s="53" t="s">
        <v>565</v>
      </c>
      <c r="C86" s="53" t="s">
        <v>566</v>
      </c>
      <c r="D86" s="62" t="s">
        <v>540</v>
      </c>
    </row>
    <row r="87" s="1" customFormat="1" ht="28" spans="1:4">
      <c r="A87" s="53" t="s">
        <v>567</v>
      </c>
      <c r="B87" s="53" t="s">
        <v>568</v>
      </c>
      <c r="C87" s="53" t="s">
        <v>569</v>
      </c>
      <c r="D87" s="62" t="s">
        <v>351</v>
      </c>
    </row>
    <row r="88" s="1" customFormat="1" spans="1:4">
      <c r="A88" s="53" t="s">
        <v>570</v>
      </c>
      <c r="B88" s="53" t="s">
        <v>571</v>
      </c>
      <c r="C88" s="53" t="s">
        <v>572</v>
      </c>
      <c r="D88" s="62" t="s">
        <v>516</v>
      </c>
    </row>
    <row r="89" s="1" customFormat="1" ht="28" spans="1:4">
      <c r="A89" s="53" t="s">
        <v>573</v>
      </c>
      <c r="B89" s="53" t="s">
        <v>574</v>
      </c>
      <c r="C89" s="53" t="s">
        <v>575</v>
      </c>
      <c r="D89" s="62" t="s">
        <v>576</v>
      </c>
    </row>
    <row r="90" s="1" customFormat="1" spans="1:4">
      <c r="A90" s="53" t="s">
        <v>577</v>
      </c>
      <c r="B90" s="53" t="s">
        <v>578</v>
      </c>
      <c r="C90" s="53" t="s">
        <v>579</v>
      </c>
      <c r="D90" s="62" t="s">
        <v>351</v>
      </c>
    </row>
    <row r="91" s="1" customFormat="1" spans="1:4">
      <c r="A91" s="53" t="s">
        <v>580</v>
      </c>
      <c r="B91" s="53" t="s">
        <v>581</v>
      </c>
      <c r="C91" s="53" t="s">
        <v>582</v>
      </c>
      <c r="D91" s="62" t="s">
        <v>583</v>
      </c>
    </row>
    <row r="92" s="1" customFormat="1" spans="1:4">
      <c r="A92" s="53" t="s">
        <v>584</v>
      </c>
      <c r="B92" s="53" t="s">
        <v>585</v>
      </c>
      <c r="C92" s="53" t="s">
        <v>586</v>
      </c>
      <c r="D92" s="62" t="s">
        <v>351</v>
      </c>
    </row>
    <row r="93" s="1" customFormat="1" ht="28" spans="1:4">
      <c r="A93" s="53" t="s">
        <v>587</v>
      </c>
      <c r="B93" s="53" t="s">
        <v>588</v>
      </c>
      <c r="C93" s="53" t="s">
        <v>589</v>
      </c>
      <c r="D93" s="62" t="s">
        <v>590</v>
      </c>
    </row>
    <row r="94" s="1" customFormat="1" spans="1:4">
      <c r="A94" s="53" t="s">
        <v>591</v>
      </c>
      <c r="B94" s="53" t="s">
        <v>592</v>
      </c>
      <c r="C94" s="53" t="s">
        <v>593</v>
      </c>
      <c r="D94" s="62" t="s">
        <v>583</v>
      </c>
    </row>
    <row r="95" s="1" customFormat="1" spans="1:4">
      <c r="A95" s="53" t="s">
        <v>594</v>
      </c>
      <c r="B95" s="53" t="s">
        <v>595</v>
      </c>
      <c r="C95" s="53" t="s">
        <v>596</v>
      </c>
      <c r="D95" s="62" t="s">
        <v>597</v>
      </c>
    </row>
    <row r="96" s="1" customFormat="1" spans="1:4">
      <c r="A96" s="53" t="s">
        <v>598</v>
      </c>
      <c r="B96" s="53" t="s">
        <v>599</v>
      </c>
      <c r="C96" s="53" t="s">
        <v>600</v>
      </c>
      <c r="D96" s="62" t="s">
        <v>597</v>
      </c>
    </row>
    <row r="97" s="1" customFormat="1" spans="1:4">
      <c r="A97" s="53" t="s">
        <v>601</v>
      </c>
      <c r="B97" s="53" t="s">
        <v>602</v>
      </c>
      <c r="C97" s="53" t="s">
        <v>603</v>
      </c>
      <c r="D97" s="62" t="s">
        <v>604</v>
      </c>
    </row>
    <row r="98" s="1" customFormat="1" ht="28" spans="1:4">
      <c r="A98" s="53" t="s">
        <v>605</v>
      </c>
      <c r="B98" s="53" t="s">
        <v>606</v>
      </c>
      <c r="C98" s="53" t="s">
        <v>607</v>
      </c>
      <c r="D98" s="62" t="s">
        <v>516</v>
      </c>
    </row>
    <row r="99" s="1" customFormat="1" spans="1:4">
      <c r="A99" s="53" t="s">
        <v>608</v>
      </c>
      <c r="B99" s="53" t="s">
        <v>609</v>
      </c>
      <c r="C99" s="53" t="s">
        <v>610</v>
      </c>
      <c r="D99" s="62" t="s">
        <v>516</v>
      </c>
    </row>
    <row r="100" s="1" customFormat="1" ht="28" spans="1:4">
      <c r="A100" s="53" t="s">
        <v>611</v>
      </c>
      <c r="B100" s="53" t="s">
        <v>612</v>
      </c>
      <c r="C100" s="53" t="s">
        <v>613</v>
      </c>
      <c r="D100" s="62" t="s">
        <v>351</v>
      </c>
    </row>
    <row r="101" s="1" customFormat="1" ht="28" spans="1:4">
      <c r="A101" s="53" t="s">
        <v>614</v>
      </c>
      <c r="B101" s="53" t="s">
        <v>615</v>
      </c>
      <c r="C101" s="53" t="s">
        <v>616</v>
      </c>
      <c r="D101" s="62" t="s">
        <v>617</v>
      </c>
    </row>
    <row r="102" s="1" customFormat="1" spans="1:4">
      <c r="A102" s="53" t="s">
        <v>618</v>
      </c>
      <c r="B102" s="53" t="s">
        <v>619</v>
      </c>
      <c r="C102" s="53" t="s">
        <v>620</v>
      </c>
      <c r="D102" s="62" t="s">
        <v>621</v>
      </c>
    </row>
    <row r="103" s="1" customFormat="1" ht="28" spans="1:4">
      <c r="A103" s="53" t="s">
        <v>622</v>
      </c>
      <c r="B103" s="53" t="s">
        <v>623</v>
      </c>
      <c r="C103" s="53" t="s">
        <v>624</v>
      </c>
      <c r="D103" s="62" t="s">
        <v>625</v>
      </c>
    </row>
    <row r="104" s="1" customFormat="1" spans="1:4">
      <c r="A104" s="53" t="s">
        <v>626</v>
      </c>
      <c r="B104" s="53" t="s">
        <v>627</v>
      </c>
      <c r="C104" s="53" t="s">
        <v>628</v>
      </c>
      <c r="D104" s="62" t="s">
        <v>351</v>
      </c>
    </row>
    <row r="105" s="1" customFormat="1" spans="1:4">
      <c r="A105" s="53" t="s">
        <v>629</v>
      </c>
      <c r="B105" s="53" t="s">
        <v>630</v>
      </c>
      <c r="C105" s="53" t="s">
        <v>500</v>
      </c>
      <c r="D105" s="62" t="s">
        <v>413</v>
      </c>
    </row>
    <row r="106" s="1" customFormat="1" spans="1:4">
      <c r="A106" s="53" t="s">
        <v>631</v>
      </c>
      <c r="B106" s="53" t="s">
        <v>632</v>
      </c>
      <c r="C106" s="53" t="s">
        <v>416</v>
      </c>
      <c r="D106" s="62" t="s">
        <v>417</v>
      </c>
    </row>
    <row r="108" s="1" customFormat="1" spans="1:4">
      <c r="A108" s="63" t="s">
        <v>633</v>
      </c>
    </row>
    <row r="109" s="1" customFormat="1" spans="1:4">
      <c r="A109" s="60" t="s">
        <v>290</v>
      </c>
      <c r="B109" s="60" t="s">
        <v>291</v>
      </c>
      <c r="C109" s="60" t="s">
        <v>292</v>
      </c>
      <c r="D109" s="60" t="s">
        <v>293</v>
      </c>
    </row>
    <row r="110" s="1" customFormat="1" spans="1:4">
      <c r="A110" s="53" t="s">
        <v>634</v>
      </c>
      <c r="B110" s="53" t="s">
        <v>635</v>
      </c>
      <c r="C110" s="53" t="s">
        <v>610</v>
      </c>
      <c r="D110" s="62" t="s">
        <v>516</v>
      </c>
    </row>
    <row r="111" s="1" customFormat="1" ht="28" spans="1:4">
      <c r="A111" s="53" t="s">
        <v>636</v>
      </c>
      <c r="B111" s="53" t="s">
        <v>637</v>
      </c>
      <c r="C111" s="53" t="s">
        <v>610</v>
      </c>
      <c r="D111" s="62" t="s">
        <v>516</v>
      </c>
    </row>
    <row r="112" s="1" customFormat="1" spans="1:4">
      <c r="A112" s="53" t="s">
        <v>638</v>
      </c>
      <c r="B112" s="53" t="s">
        <v>639</v>
      </c>
      <c r="C112" s="53" t="s">
        <v>610</v>
      </c>
      <c r="D112" s="62" t="s">
        <v>516</v>
      </c>
    </row>
    <row r="113" s="1" customFormat="1" ht="28" spans="1:4">
      <c r="A113" s="53" t="s">
        <v>640</v>
      </c>
      <c r="B113" s="53" t="s">
        <v>641</v>
      </c>
      <c r="C113" s="62" t="s">
        <v>642</v>
      </c>
      <c r="D113" s="62" t="s">
        <v>643</v>
      </c>
    </row>
    <row r="114" s="1" customFormat="1" spans="1:4">
      <c r="A114" s="53" t="s">
        <v>644</v>
      </c>
      <c r="B114" s="53" t="s">
        <v>645</v>
      </c>
      <c r="C114" s="53" t="s">
        <v>646</v>
      </c>
      <c r="D114" s="62" t="s">
        <v>647</v>
      </c>
    </row>
    <row r="115" s="1" customFormat="1" spans="1:4">
      <c r="A115" s="53" t="s">
        <v>648</v>
      </c>
      <c r="B115" s="53" t="s">
        <v>649</v>
      </c>
      <c r="C115" s="53" t="s">
        <v>650</v>
      </c>
      <c r="D115" s="62" t="s">
        <v>516</v>
      </c>
    </row>
    <row r="116" s="1" customFormat="1" ht="28" spans="1:4">
      <c r="A116" s="53" t="s">
        <v>651</v>
      </c>
      <c r="B116" s="53" t="s">
        <v>652</v>
      </c>
      <c r="C116" s="53" t="s">
        <v>653</v>
      </c>
      <c r="D116" s="62" t="s">
        <v>654</v>
      </c>
    </row>
    <row r="117" s="1" customFormat="1" spans="1:4">
      <c r="A117" s="53" t="s">
        <v>655</v>
      </c>
      <c r="B117" s="53" t="s">
        <v>656</v>
      </c>
      <c r="C117" s="53" t="s">
        <v>657</v>
      </c>
      <c r="D117" s="62" t="s">
        <v>351</v>
      </c>
    </row>
    <row r="118" s="1" customFormat="1" ht="28" spans="1:4">
      <c r="A118" s="53" t="s">
        <v>658</v>
      </c>
      <c r="B118" s="53" t="s">
        <v>659</v>
      </c>
      <c r="C118" s="53" t="s">
        <v>660</v>
      </c>
      <c r="D118" s="62" t="s">
        <v>661</v>
      </c>
    </row>
    <row r="119" s="1" customFormat="1" spans="1:4">
      <c r="A119" s="53" t="s">
        <v>662</v>
      </c>
      <c r="B119" s="53" t="s">
        <v>663</v>
      </c>
      <c r="C119" s="53" t="s">
        <v>664</v>
      </c>
      <c r="D119" s="62" t="s">
        <v>540</v>
      </c>
    </row>
    <row r="120" s="1" customFormat="1" ht="28" spans="1:4">
      <c r="A120" s="53" t="s">
        <v>665</v>
      </c>
      <c r="B120" s="53" t="s">
        <v>666</v>
      </c>
      <c r="C120" s="53" t="s">
        <v>667</v>
      </c>
      <c r="D120" s="62" t="s">
        <v>668</v>
      </c>
    </row>
    <row r="121" s="1" customFormat="1" spans="1:4">
      <c r="A121" s="53" t="s">
        <v>669</v>
      </c>
      <c r="B121" s="53" t="s">
        <v>670</v>
      </c>
      <c r="C121" s="53" t="s">
        <v>671</v>
      </c>
      <c r="D121" s="62" t="s">
        <v>672</v>
      </c>
    </row>
    <row r="122" s="1" customFormat="1" spans="1:4">
      <c r="A122" s="53" t="s">
        <v>673</v>
      </c>
      <c r="B122" s="53" t="s">
        <v>674</v>
      </c>
      <c r="C122" s="53" t="s">
        <v>675</v>
      </c>
      <c r="D122" s="62" t="s">
        <v>540</v>
      </c>
    </row>
    <row r="123" s="1" customFormat="1" ht="28" spans="1:4">
      <c r="A123" s="53" t="s">
        <v>676</v>
      </c>
      <c r="B123" s="53" t="s">
        <v>677</v>
      </c>
      <c r="C123" s="53" t="s">
        <v>678</v>
      </c>
      <c r="D123" s="62" t="s">
        <v>351</v>
      </c>
    </row>
    <row r="124" s="1" customFormat="1" spans="1:4">
      <c r="A124" s="53" t="s">
        <v>679</v>
      </c>
      <c r="B124" s="53" t="s">
        <v>627</v>
      </c>
      <c r="C124" s="53" t="s">
        <v>628</v>
      </c>
      <c r="D124" s="62" t="s">
        <v>351</v>
      </c>
    </row>
    <row r="125" s="1" customFormat="1" spans="1:4">
      <c r="A125" s="53" t="s">
        <v>680</v>
      </c>
      <c r="B125" s="53" t="s">
        <v>507</v>
      </c>
      <c r="C125" s="53" t="s">
        <v>508</v>
      </c>
      <c r="D125" s="62" t="s">
        <v>413</v>
      </c>
    </row>
    <row r="126" s="1" customFormat="1" spans="1:4">
      <c r="A126" s="53" t="s">
        <v>681</v>
      </c>
      <c r="B126" s="53" t="s">
        <v>632</v>
      </c>
      <c r="C126" s="53" t="s">
        <v>416</v>
      </c>
      <c r="D126" s="62" t="s">
        <v>417</v>
      </c>
    </row>
    <row r="127" s="1" customFormat="1" spans="1:4">
      <c r="A127" s="53" t="s">
        <v>682</v>
      </c>
      <c r="B127" s="53" t="s">
        <v>683</v>
      </c>
      <c r="C127" s="53" t="s">
        <v>628</v>
      </c>
      <c r="D127" s="62" t="s">
        <v>351</v>
      </c>
    </row>
    <row r="128" s="1" customFormat="1" spans="1:4">
      <c r="A128" s="53" t="s">
        <v>684</v>
      </c>
      <c r="B128" s="53" t="s">
        <v>507</v>
      </c>
      <c r="C128" s="53" t="s">
        <v>508</v>
      </c>
      <c r="D128" s="62" t="s">
        <v>413</v>
      </c>
    </row>
    <row r="129" s="1" customFormat="1" spans="1:4">
      <c r="A129" s="53" t="s">
        <v>685</v>
      </c>
      <c r="B129" s="53" t="s">
        <v>510</v>
      </c>
      <c r="C129" s="53" t="s">
        <v>416</v>
      </c>
      <c r="D129" s="62" t="s">
        <v>511</v>
      </c>
    </row>
    <row r="131" s="1" customFormat="1" spans="1:4">
      <c r="A131" s="1" t="s">
        <v>686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5"/>
  <sheetViews>
    <sheetView topLeftCell="A19" workbookViewId="0">
      <selection activeCell="G28" sqref="G28"/>
    </sheetView>
  </sheetViews>
  <sheetFormatPr defaultColWidth="9" defaultRowHeight="12.5"/>
  <cols>
    <col min="1" max="1" width="38.1454545454545" style="15" customWidth="1"/>
    <col min="2" max="10" width="15.5727272727273" style="15" customWidth="1"/>
    <col min="11" max="16384" width="9" style="15"/>
  </cols>
  <sheetData>
    <row r="1" s="15" customFormat="1" ht="13" spans="1:10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</row>
    <row r="2" s="15" customFormat="1" spans="1:10">
      <c r="A2" s="15" t="s">
        <v>10</v>
      </c>
      <c r="B2" s="15" t="s">
        <v>11</v>
      </c>
      <c r="C2" s="15" t="s">
        <v>11</v>
      </c>
      <c r="D2" s="15" t="s">
        <v>11</v>
      </c>
      <c r="E2" s="15" t="s">
        <v>11</v>
      </c>
      <c r="F2" s="15" t="s">
        <v>11</v>
      </c>
      <c r="G2" s="15" t="s">
        <v>11</v>
      </c>
      <c r="H2" s="15" t="s">
        <v>11</v>
      </c>
      <c r="I2" s="15" t="s">
        <v>11</v>
      </c>
      <c r="J2" s="15" t="s">
        <v>11</v>
      </c>
    </row>
    <row r="3" s="15" customFormat="1" spans="1:10">
      <c r="A3" s="15" t="s">
        <v>12</v>
      </c>
      <c r="B3" s="15" t="s">
        <v>13</v>
      </c>
      <c r="C3" s="15" t="s">
        <v>13</v>
      </c>
      <c r="D3" s="15" t="s">
        <v>13</v>
      </c>
      <c r="E3" s="15" t="s">
        <v>13</v>
      </c>
      <c r="F3" s="15" t="s">
        <v>13</v>
      </c>
      <c r="G3" s="15" t="s">
        <v>13</v>
      </c>
      <c r="H3" s="15" t="s">
        <v>13</v>
      </c>
      <c r="I3" s="15" t="s">
        <v>13</v>
      </c>
      <c r="J3" s="15" t="s">
        <v>13</v>
      </c>
    </row>
    <row r="4" s="15" customFormat="1" spans="1:10">
      <c r="A4" s="15" t="s">
        <v>14</v>
      </c>
      <c r="B4" s="15" t="s">
        <v>15</v>
      </c>
      <c r="C4" s="15" t="s">
        <v>15</v>
      </c>
      <c r="D4" s="15" t="s">
        <v>15</v>
      </c>
      <c r="E4" s="15" t="s">
        <v>15</v>
      </c>
      <c r="F4" s="15" t="s">
        <v>15</v>
      </c>
      <c r="G4" s="15" t="s">
        <v>15</v>
      </c>
      <c r="H4" s="15" t="s">
        <v>15</v>
      </c>
      <c r="I4" s="15" t="s">
        <v>15</v>
      </c>
      <c r="J4" s="15" t="s">
        <v>15</v>
      </c>
    </row>
    <row r="5" s="15" customFormat="1" ht="13" spans="1:10">
      <c r="A5" s="17" t="s">
        <v>687</v>
      </c>
      <c r="B5" s="19">
        <v>6129461218.66</v>
      </c>
      <c r="C5" s="19">
        <v>6249319078.33</v>
      </c>
      <c r="D5" s="19">
        <v>5682141446.75</v>
      </c>
      <c r="E5" s="19">
        <v>4651100995.07</v>
      </c>
      <c r="F5" s="19">
        <v>3329297918.41</v>
      </c>
      <c r="G5" s="19">
        <v>3310864083.33</v>
      </c>
      <c r="H5" s="19">
        <v>2918572854.23</v>
      </c>
      <c r="I5" s="19">
        <v>2210529514.27</v>
      </c>
      <c r="J5" s="19">
        <v>1544300894.17</v>
      </c>
    </row>
    <row r="6" s="15" customFormat="1" spans="1:10">
      <c r="A6" s="15" t="s">
        <v>688</v>
      </c>
      <c r="B6" s="18">
        <v>6129461218.66</v>
      </c>
      <c r="C6" s="18">
        <v>6249319078.33</v>
      </c>
      <c r="D6" s="18">
        <v>5682141446.75</v>
      </c>
      <c r="E6" s="18">
        <v>4651100995.07</v>
      </c>
      <c r="F6" s="18">
        <v>3329297918.41</v>
      </c>
      <c r="G6" s="18">
        <v>3310864083.33</v>
      </c>
      <c r="H6" s="18">
        <v>2918572854.23</v>
      </c>
      <c r="I6" s="18">
        <v>2210529514.27</v>
      </c>
      <c r="J6" s="18">
        <v>1544300894.17</v>
      </c>
    </row>
    <row r="7" s="15" customFormat="1" spans="1:10">
      <c r="A7" s="15" t="s">
        <v>689</v>
      </c>
    </row>
    <row r="8" s="15" customFormat="1" spans="1:10">
      <c r="A8" s="15" t="s">
        <v>690</v>
      </c>
    </row>
    <row r="9" s="15" customFormat="1" spans="1:10">
      <c r="A9" s="15" t="s">
        <v>691</v>
      </c>
    </row>
    <row r="10" s="15" customFormat="1" spans="1:10">
      <c r="A10" s="15" t="s">
        <v>692</v>
      </c>
    </row>
    <row r="11" s="15" customFormat="1" spans="1:10">
      <c r="A11" s="15" t="s">
        <v>693</v>
      </c>
    </row>
    <row r="12" s="15" customFormat="1" ht="13" spans="1:10">
      <c r="A12" s="17" t="s">
        <v>694</v>
      </c>
      <c r="B12" s="19">
        <v>4986304017.22</v>
      </c>
      <c r="C12" s="19">
        <v>4956030756.55</v>
      </c>
      <c r="D12" s="19">
        <v>4602225206.35</v>
      </c>
      <c r="E12" s="19">
        <v>3852265975.81</v>
      </c>
      <c r="F12" s="19">
        <v>2668115682.12</v>
      </c>
      <c r="G12" s="19">
        <v>2792297025.16</v>
      </c>
      <c r="H12" s="19">
        <v>2600365253.35</v>
      </c>
      <c r="I12" s="19">
        <v>1964015693.43</v>
      </c>
      <c r="J12" s="19">
        <v>1341079295.05</v>
      </c>
    </row>
    <row r="13" s="15" customFormat="1" spans="1:10">
      <c r="A13" s="15" t="s">
        <v>695</v>
      </c>
      <c r="B13" s="18">
        <v>4348428835.47</v>
      </c>
      <c r="C13" s="18">
        <v>4265327595.67</v>
      </c>
      <c r="D13" s="18">
        <v>3935937902.33</v>
      </c>
      <c r="E13" s="18">
        <v>3256120322.9</v>
      </c>
      <c r="F13" s="18">
        <v>2264070984.57</v>
      </c>
      <c r="G13" s="18">
        <v>2160213689.3</v>
      </c>
      <c r="H13" s="18">
        <v>2037726393.21</v>
      </c>
      <c r="I13" s="18">
        <v>1531906092.31</v>
      </c>
      <c r="J13" s="18">
        <v>969430382.55</v>
      </c>
    </row>
    <row r="14" s="15" customFormat="1" spans="1:10">
      <c r="A14" s="15" t="s">
        <v>696</v>
      </c>
    </row>
    <row r="15" s="15" customFormat="1" spans="1:10">
      <c r="A15" s="15" t="s">
        <v>697</v>
      </c>
    </row>
    <row r="16" s="15" customFormat="1" spans="1:10">
      <c r="A16" s="15" t="s">
        <v>698</v>
      </c>
    </row>
    <row r="17" s="15" customFormat="1" spans="1:10">
      <c r="A17" s="15" t="s">
        <v>699</v>
      </c>
    </row>
    <row r="18" s="15" customFormat="1" spans="1:10">
      <c r="A18" s="15" t="s">
        <v>700</v>
      </c>
    </row>
    <row r="19" s="15" customFormat="1" spans="1:10">
      <c r="A19" s="15" t="s">
        <v>701</v>
      </c>
    </row>
    <row r="20" s="15" customFormat="1" spans="1:10">
      <c r="A20" s="15" t="s">
        <v>702</v>
      </c>
    </row>
    <row r="21" s="15" customFormat="1" spans="1:10">
      <c r="A21" s="15" t="s">
        <v>703</v>
      </c>
    </row>
    <row r="22" s="15" customFormat="1" spans="1:10">
      <c r="A22" s="15" t="s">
        <v>704</v>
      </c>
      <c r="B22" s="18">
        <v>58993249.04</v>
      </c>
      <c r="C22" s="18">
        <v>56153246.91</v>
      </c>
      <c r="D22" s="18">
        <v>42917340.06</v>
      </c>
      <c r="E22" s="18">
        <v>37532317.48</v>
      </c>
      <c r="F22" s="18">
        <v>34089083.25</v>
      </c>
      <c r="G22" s="18">
        <v>37951181.48</v>
      </c>
      <c r="H22" s="18">
        <v>28000735.43</v>
      </c>
      <c r="I22" s="18">
        <v>28023754.49</v>
      </c>
      <c r="J22" s="18">
        <v>24206649.21</v>
      </c>
    </row>
    <row r="23" s="15" customFormat="1" spans="1:10">
      <c r="A23" s="15" t="s">
        <v>705</v>
      </c>
      <c r="B23" s="18">
        <v>304923156.75</v>
      </c>
      <c r="C23" s="18">
        <v>285858877.31</v>
      </c>
      <c r="D23" s="18">
        <v>267651684.09</v>
      </c>
      <c r="E23" s="18">
        <v>222391022.83</v>
      </c>
      <c r="F23" s="18">
        <v>172179694.23</v>
      </c>
      <c r="G23" s="18">
        <v>410723752.45</v>
      </c>
      <c r="H23" s="18">
        <v>343598741.77</v>
      </c>
      <c r="I23" s="18">
        <v>286174671.83</v>
      </c>
      <c r="J23" s="18">
        <v>197063390.7</v>
      </c>
    </row>
    <row r="24" s="15" customFormat="1" spans="1:10">
      <c r="A24" s="15" t="s">
        <v>706</v>
      </c>
      <c r="B24" s="18">
        <v>151680193.87</v>
      </c>
      <c r="C24" s="18">
        <v>165913428.14</v>
      </c>
      <c r="D24" s="18">
        <v>204335908.14</v>
      </c>
      <c r="E24" s="18">
        <v>207840733.18</v>
      </c>
      <c r="F24" s="18">
        <v>143128813.19</v>
      </c>
      <c r="G24" s="18">
        <v>122004890.64</v>
      </c>
      <c r="H24" s="18">
        <v>128305857.05</v>
      </c>
      <c r="I24" s="18">
        <v>74180151.32</v>
      </c>
      <c r="J24" s="18">
        <v>71364015.33</v>
      </c>
    </row>
    <row r="25" s="15" customFormat="1" spans="1:10">
      <c r="A25" s="15" t="s">
        <v>707</v>
      </c>
      <c r="B25" s="18">
        <v>151760726.71</v>
      </c>
      <c r="C25" s="18">
        <v>210426000.99</v>
      </c>
      <c r="D25" s="18">
        <v>184885908.98</v>
      </c>
      <c r="E25" s="18">
        <v>141554165.27</v>
      </c>
      <c r="F25" s="18">
        <v>61678850.75</v>
      </c>
      <c r="G25" s="18">
        <v>68644760.63</v>
      </c>
      <c r="H25" s="18">
        <v>48742253.67</v>
      </c>
      <c r="I25" s="18">
        <v>47311154.63</v>
      </c>
      <c r="J25" s="18">
        <v>47605906.56</v>
      </c>
    </row>
    <row r="26" s="15" customFormat="1" spans="1:10">
      <c r="A26" s="15" t="s">
        <v>708</v>
      </c>
      <c r="B26" s="18">
        <v>-29482144.62</v>
      </c>
      <c r="C26" s="18">
        <v>-27648392.47</v>
      </c>
      <c r="D26" s="18">
        <v>-33503537.25</v>
      </c>
      <c r="E26" s="18">
        <v>-13172585.85</v>
      </c>
      <c r="F26" s="18">
        <v>-7031743.87</v>
      </c>
      <c r="G26" s="18">
        <v>-7241249.34</v>
      </c>
      <c r="H26" s="18">
        <v>-1345146.9</v>
      </c>
      <c r="I26" s="18">
        <v>1106103.81</v>
      </c>
      <c r="J26" s="18">
        <v>1800267</v>
      </c>
    </row>
    <row r="27" s="15" customFormat="1" spans="1:10">
      <c r="A27" s="15" t="s">
        <v>709</v>
      </c>
      <c r="B27" s="18">
        <v>6249606.77</v>
      </c>
      <c r="C27" s="18">
        <v>4610251.09</v>
      </c>
      <c r="D27" s="18">
        <v>1311422.78</v>
      </c>
      <c r="E27" s="18">
        <v>394228.17</v>
      </c>
      <c r="F27" s="18">
        <v>74051.02</v>
      </c>
    </row>
    <row r="28" s="15" customFormat="1" spans="1:10">
      <c r="A28" s="15" t="s">
        <v>710</v>
      </c>
      <c r="B28" s="18">
        <v>37086795.67</v>
      </c>
      <c r="C28" s="18">
        <v>31023567.37</v>
      </c>
      <c r="D28" s="18">
        <v>31991799.43</v>
      </c>
      <c r="E28" s="18">
        <v>18258659.34</v>
      </c>
      <c r="F28" s="18">
        <v>12674421.46</v>
      </c>
      <c r="G28" s="18">
        <v>7073727.42</v>
      </c>
    </row>
    <row r="29" s="15" customFormat="1" spans="1:10">
      <c r="A29" s="15" t="s">
        <v>711</v>
      </c>
      <c r="H29" s="18">
        <v>15336419.12</v>
      </c>
      <c r="I29" s="18">
        <v>-4686234.96</v>
      </c>
      <c r="J29" s="18">
        <v>29608683.7</v>
      </c>
    </row>
    <row r="30" s="15" customFormat="1" spans="1:10">
      <c r="A30" s="15" t="s">
        <v>712</v>
      </c>
    </row>
    <row r="31" s="15" customFormat="1" spans="1:10">
      <c r="A31" s="15" t="s">
        <v>713</v>
      </c>
    </row>
    <row r="32" s="15" customFormat="1" ht="13" spans="1:10">
      <c r="A32" s="17" t="s">
        <v>714</v>
      </c>
    </row>
    <row r="33" s="15" customFormat="1" spans="1:10">
      <c r="A33" s="15" t="s">
        <v>715</v>
      </c>
      <c r="B33" s="18">
        <v>18837250.31</v>
      </c>
      <c r="C33" s="18">
        <v>10829712.99</v>
      </c>
      <c r="D33" s="18">
        <v>11984237.74</v>
      </c>
      <c r="E33" s="18">
        <v>5494552.95</v>
      </c>
      <c r="F33" s="18">
        <v>7855300.66</v>
      </c>
      <c r="G33" s="18">
        <v>2762594.72</v>
      </c>
      <c r="H33" s="18">
        <v>12769314.06</v>
      </c>
      <c r="I33" s="18">
        <v>2403689.31</v>
      </c>
    </row>
    <row r="34" s="15" customFormat="1" spans="1:10">
      <c r="A34" s="15" t="s">
        <v>716</v>
      </c>
      <c r="B34" s="18">
        <v>-2192171.24</v>
      </c>
      <c r="C34" s="18">
        <v>-4747780.28</v>
      </c>
      <c r="D34" s="18">
        <v>-4083695.13</v>
      </c>
      <c r="E34" s="18">
        <v>-4737561.95</v>
      </c>
      <c r="F34" s="18">
        <v>-1168450.13</v>
      </c>
      <c r="G34" s="18">
        <v>24630.14</v>
      </c>
    </row>
    <row r="35" s="15" customFormat="1" spans="1:10">
      <c r="A35" s="15" t="s">
        <v>717</v>
      </c>
    </row>
    <row r="36" s="15" customFormat="1" spans="1:10">
      <c r="A36" s="15" t="s">
        <v>718</v>
      </c>
      <c r="B36" s="18">
        <v>-3550020.73</v>
      </c>
      <c r="C36" s="18">
        <v>-6928952.87</v>
      </c>
      <c r="D36" s="18">
        <v>-5167716.58</v>
      </c>
      <c r="E36" s="18">
        <v>-4737561.95</v>
      </c>
      <c r="F36" s="18">
        <v>-1168450.13</v>
      </c>
    </row>
    <row r="37" s="15" customFormat="1" spans="1:10">
      <c r="A37" s="15" t="s">
        <v>719</v>
      </c>
    </row>
    <row r="38" s="15" customFormat="1" spans="1:10">
      <c r="A38" s="15" t="s">
        <v>720</v>
      </c>
    </row>
    <row r="39" s="15" customFormat="1" spans="1:10">
      <c r="A39" s="15" t="s">
        <v>721</v>
      </c>
      <c r="B39" s="18">
        <v>322384.66</v>
      </c>
      <c r="C39" s="18">
        <v>-7264</v>
      </c>
    </row>
    <row r="40" s="15" customFormat="1" spans="1:10">
      <c r="A40" s="15" t="s">
        <v>722</v>
      </c>
      <c r="B40" s="18">
        <v>-39397333.75</v>
      </c>
      <c r="C40" s="18">
        <v>231206.7</v>
      </c>
      <c r="D40" s="18">
        <v>-22572028.67</v>
      </c>
      <c r="E40" s="18">
        <v>5166307.48</v>
      </c>
      <c r="F40" s="18">
        <v>-8664672.2</v>
      </c>
      <c r="G40" s="18">
        <v>-2168532.82</v>
      </c>
    </row>
    <row r="41" s="15" customFormat="1" spans="1:10">
      <c r="A41" s="15" t="s">
        <v>723</v>
      </c>
      <c r="B41" s="18">
        <v>-10215468</v>
      </c>
      <c r="C41" s="18">
        <v>-20696202.27</v>
      </c>
      <c r="D41" s="18">
        <v>-11634693.75</v>
      </c>
      <c r="E41" s="18">
        <v>-22210680.37</v>
      </c>
      <c r="F41" s="18">
        <v>-15172795.06</v>
      </c>
      <c r="G41" s="18">
        <v>-15133041.66</v>
      </c>
    </row>
    <row r="42" s="15" customFormat="1" spans="1:10">
      <c r="A42" s="15" t="s">
        <v>724</v>
      </c>
      <c r="B42" s="18">
        <v>15232.5</v>
      </c>
      <c r="C42" s="18">
        <v>1191740.13</v>
      </c>
      <c r="D42" s="18">
        <v>631145.05</v>
      </c>
      <c r="E42" s="18">
        <v>675091.23</v>
      </c>
      <c r="F42" s="18">
        <v>245980.48</v>
      </c>
      <c r="G42" s="18">
        <v>1540650.58</v>
      </c>
      <c r="H42" s="18">
        <v>11527.48</v>
      </c>
      <c r="I42" s="18">
        <v>2305268.34</v>
      </c>
      <c r="J42" s="18">
        <v>308680.9</v>
      </c>
    </row>
    <row r="43" s="15" customFormat="1" spans="1:10">
      <c r="A43" s="15" t="s">
        <v>725</v>
      </c>
    </row>
    <row r="44" s="15" customFormat="1" spans="1:10">
      <c r="A44" s="15" t="s">
        <v>726</v>
      </c>
    </row>
    <row r="45" s="15" customFormat="1" ht="13" spans="1:10">
      <c r="A45" s="17" t="s">
        <v>727</v>
      </c>
      <c r="B45" s="19">
        <v>1110527095.92</v>
      </c>
      <c r="C45" s="19">
        <v>1280089735.05</v>
      </c>
      <c r="D45" s="19">
        <v>1054241205.64</v>
      </c>
      <c r="E45" s="19">
        <v>783222728.6</v>
      </c>
      <c r="F45" s="19">
        <v>644277600.04</v>
      </c>
      <c r="G45" s="19">
        <v>505593359.13</v>
      </c>
      <c r="H45" s="19">
        <v>330988442.42</v>
      </c>
      <c r="I45" s="19">
        <v>251222778.49</v>
      </c>
      <c r="J45" s="19">
        <v>203530280.02</v>
      </c>
    </row>
    <row r="46" s="15" customFormat="1" spans="1:10">
      <c r="A46" s="15" t="s">
        <v>728</v>
      </c>
      <c r="B46" s="18">
        <v>2203711.21</v>
      </c>
      <c r="C46" s="18">
        <v>19235764.56</v>
      </c>
      <c r="D46" s="18">
        <v>10255086.08</v>
      </c>
      <c r="E46" s="18">
        <v>21257909.39</v>
      </c>
      <c r="F46" s="18">
        <v>14510145.58</v>
      </c>
      <c r="G46" s="18">
        <v>11433902.06</v>
      </c>
      <c r="H46" s="18">
        <v>6729888.9</v>
      </c>
      <c r="I46" s="18">
        <v>13037448.26</v>
      </c>
      <c r="J46" s="18">
        <v>7624003.95</v>
      </c>
    </row>
    <row r="47" s="15" customFormat="1" spans="1:10">
      <c r="A47" s="15" t="s">
        <v>729</v>
      </c>
    </row>
    <row r="48" s="15" customFormat="1" spans="1:10">
      <c r="A48" s="15" t="s">
        <v>730</v>
      </c>
      <c r="B48" s="18">
        <v>3785485.04</v>
      </c>
      <c r="C48" s="18">
        <v>1859630.98</v>
      </c>
      <c r="D48" s="18">
        <v>6567274.69</v>
      </c>
      <c r="E48" s="18">
        <v>3753786.6</v>
      </c>
      <c r="F48" s="18">
        <v>6357013.71</v>
      </c>
      <c r="G48" s="18">
        <v>2404846.36</v>
      </c>
      <c r="H48" s="18">
        <v>7689487.61</v>
      </c>
      <c r="I48" s="18">
        <v>8286486.83</v>
      </c>
      <c r="J48" s="18">
        <v>8733266.51</v>
      </c>
    </row>
    <row r="49" s="15" customFormat="1" spans="1:10">
      <c r="A49" s="15" t="s">
        <v>731</v>
      </c>
    </row>
    <row r="50" s="15" customFormat="1" spans="1:10">
      <c r="A50" s="15" t="s">
        <v>732</v>
      </c>
    </row>
    <row r="51" s="15" customFormat="1" spans="1:10">
      <c r="A51" s="15" t="s">
        <v>733</v>
      </c>
    </row>
    <row r="52" s="15" customFormat="1" ht="13" spans="1:10">
      <c r="A52" s="17" t="s">
        <v>734</v>
      </c>
      <c r="B52" s="19">
        <v>1108945322.09</v>
      </c>
      <c r="C52" s="19">
        <v>1297465868.63</v>
      </c>
      <c r="D52" s="19">
        <v>1057929017.03</v>
      </c>
      <c r="E52" s="19">
        <v>800726851.39</v>
      </c>
      <c r="F52" s="19">
        <v>652430731.91</v>
      </c>
      <c r="G52" s="19">
        <v>514622414.83</v>
      </c>
      <c r="H52" s="19">
        <v>330028843.71</v>
      </c>
      <c r="I52" s="19">
        <v>255973739.92</v>
      </c>
      <c r="J52" s="19">
        <v>202421017.46</v>
      </c>
    </row>
    <row r="53" s="15" customFormat="1" spans="1:10">
      <c r="A53" s="15" t="s">
        <v>735</v>
      </c>
      <c r="B53" s="18">
        <v>260714130.75</v>
      </c>
      <c r="C53" s="18">
        <v>289376409.75</v>
      </c>
      <c r="D53" s="18">
        <v>224010347.33</v>
      </c>
      <c r="E53" s="18">
        <v>153720765.81</v>
      </c>
      <c r="F53" s="18">
        <v>137748164.84</v>
      </c>
      <c r="G53" s="18">
        <v>101545464.56</v>
      </c>
      <c r="H53" s="18">
        <v>85553107.44</v>
      </c>
      <c r="I53" s="18">
        <v>50017036.51</v>
      </c>
      <c r="J53" s="18">
        <v>42676057.36</v>
      </c>
    </row>
    <row r="54" s="15" customFormat="1" spans="1:10">
      <c r="A54" s="15" t="s">
        <v>736</v>
      </c>
    </row>
    <row r="55" s="15" customFormat="1" spans="1:10">
      <c r="A55" s="15" t="s">
        <v>737</v>
      </c>
    </row>
    <row r="56" s="15" customFormat="1" ht="13" spans="1:10">
      <c r="A56" s="17" t="s">
        <v>738</v>
      </c>
      <c r="B56" s="19">
        <v>848231191.34</v>
      </c>
      <c r="C56" s="19">
        <v>1008089458.88</v>
      </c>
      <c r="D56" s="19">
        <v>833918669.7</v>
      </c>
      <c r="E56" s="19">
        <v>647006085.58</v>
      </c>
      <c r="F56" s="19">
        <v>514682567.07</v>
      </c>
      <c r="G56" s="19">
        <v>413076950.27</v>
      </c>
      <c r="H56" s="19">
        <v>244475736.27</v>
      </c>
      <c r="I56" s="19">
        <v>205956703.41</v>
      </c>
      <c r="J56" s="19">
        <v>159744960.1</v>
      </c>
    </row>
    <row r="57" s="15" customFormat="1" spans="1:10">
      <c r="A57" s="15" t="s">
        <v>739</v>
      </c>
    </row>
    <row r="58" s="15" customFormat="1" spans="1:10">
      <c r="A58" s="15" t="s">
        <v>740</v>
      </c>
    </row>
    <row r="59" s="15" customFormat="1" spans="1:10">
      <c r="A59" s="15" t="s">
        <v>741</v>
      </c>
      <c r="B59" s="18">
        <v>848231191.34</v>
      </c>
      <c r="C59" s="18">
        <v>1008089458.88</v>
      </c>
      <c r="D59" s="18">
        <v>833918669.7</v>
      </c>
      <c r="E59" s="18">
        <v>647006085.58</v>
      </c>
      <c r="F59" s="18">
        <v>514682567.07</v>
      </c>
      <c r="G59" s="18">
        <v>413076950.27</v>
      </c>
    </row>
    <row r="60" s="15" customFormat="1" spans="1:10">
      <c r="A60" s="15" t="s">
        <v>742</v>
      </c>
    </row>
    <row r="61" s="15" customFormat="1" spans="1:10">
      <c r="A61" s="15" t="s">
        <v>743</v>
      </c>
    </row>
    <row r="62" s="15" customFormat="1" spans="1:10">
      <c r="A62" s="15" t="s">
        <v>744</v>
      </c>
      <c r="B62" s="18">
        <v>848231191.34</v>
      </c>
      <c r="C62" s="18">
        <v>1008089458.88</v>
      </c>
      <c r="D62" s="18">
        <v>833918669.7</v>
      </c>
      <c r="E62" s="18">
        <v>647006085.58</v>
      </c>
      <c r="F62" s="18">
        <v>514682567.07</v>
      </c>
      <c r="G62" s="18">
        <v>413076950.27</v>
      </c>
      <c r="H62" s="18">
        <v>244475736.27</v>
      </c>
      <c r="I62" s="18">
        <v>205956703.41</v>
      </c>
      <c r="J62" s="18">
        <v>159744960.1</v>
      </c>
    </row>
    <row r="63" s="15" customFormat="1" spans="1:10">
      <c r="A63" s="15" t="s">
        <v>745</v>
      </c>
    </row>
    <row r="64" s="15" customFormat="1" spans="1:10">
      <c r="A64" s="15" t="s">
        <v>746</v>
      </c>
      <c r="B64" s="18">
        <v>840787903.36</v>
      </c>
      <c r="C64" s="18">
        <v>987263773.67</v>
      </c>
      <c r="D64" s="18">
        <v>824653090.13</v>
      </c>
      <c r="E64" s="18">
        <v>629578736.56</v>
      </c>
      <c r="F64" s="18">
        <v>498660031.74</v>
      </c>
      <c r="G64" s="18">
        <v>401160366.07</v>
      </c>
      <c r="H64" s="18">
        <v>236858700</v>
      </c>
      <c r="I64" s="18">
        <v>198998200</v>
      </c>
      <c r="J64" s="18">
        <v>160345400</v>
      </c>
    </row>
    <row r="65" s="15" customFormat="1" spans="1:10">
      <c r="A65" s="15" t="s">
        <v>747</v>
      </c>
    </row>
    <row r="66" s="15" customFormat="1" spans="1:10">
      <c r="A66" s="15" t="s">
        <v>748</v>
      </c>
    </row>
    <row r="67" s="15" customFormat="1" ht="13" spans="1:10">
      <c r="A67" s="17" t="s">
        <v>749</v>
      </c>
    </row>
    <row r="68" s="15" customFormat="1" spans="1:10">
      <c r="A68" s="15" t="s">
        <v>750</v>
      </c>
    </row>
    <row r="69" s="15" customFormat="1" spans="1:10">
      <c r="A69" s="15" t="s">
        <v>751</v>
      </c>
    </row>
    <row r="70" s="15" customFormat="1" ht="13" spans="1:10">
      <c r="A70" s="17" t="s">
        <v>752</v>
      </c>
      <c r="B70" s="19">
        <v>848231191.34</v>
      </c>
      <c r="C70" s="19">
        <v>1008089458.88</v>
      </c>
      <c r="D70" s="19">
        <v>833918669.7</v>
      </c>
      <c r="E70" s="19">
        <v>647006085.58</v>
      </c>
      <c r="F70" s="19">
        <v>514682567.07</v>
      </c>
      <c r="G70" s="19">
        <v>413076950.27</v>
      </c>
      <c r="H70" s="19">
        <v>244475736.27</v>
      </c>
      <c r="I70" s="19">
        <v>205956703.41</v>
      </c>
      <c r="J70" s="19">
        <v>159744960.1</v>
      </c>
    </row>
    <row r="71" s="15" customFormat="1" spans="1:10">
      <c r="A71" s="15" t="s">
        <v>753</v>
      </c>
      <c r="B71" s="18">
        <v>848231191.34</v>
      </c>
      <c r="C71" s="18">
        <v>1008089458.88</v>
      </c>
      <c r="D71" s="18">
        <v>833918669.7</v>
      </c>
      <c r="E71" s="18">
        <v>647006085.58</v>
      </c>
      <c r="F71" s="18">
        <v>514682567.07</v>
      </c>
      <c r="G71" s="18">
        <v>413076950.27</v>
      </c>
      <c r="H71" s="18">
        <v>244475736.27</v>
      </c>
      <c r="I71" s="18">
        <v>205956703.41</v>
      </c>
      <c r="J71" s="18">
        <v>159744960.1</v>
      </c>
    </row>
    <row r="72" s="15" customFormat="1" spans="1:10">
      <c r="A72" s="15" t="s">
        <v>754</v>
      </c>
    </row>
    <row r="73" s="15" customFormat="1" ht="13" spans="1:10">
      <c r="A73" s="17" t="s">
        <v>755</v>
      </c>
    </row>
    <row r="74" s="15" customFormat="1" spans="1:10">
      <c r="A74" s="15" t="s">
        <v>756</v>
      </c>
      <c r="B74" s="18">
        <v>1.49</v>
      </c>
      <c r="C74" s="18">
        <v>1.78</v>
      </c>
      <c r="D74" s="18">
        <v>1.49</v>
      </c>
      <c r="E74" s="18">
        <v>1.63</v>
      </c>
      <c r="F74" s="18">
        <v>1.29</v>
      </c>
      <c r="G74" s="18">
        <v>1.1</v>
      </c>
      <c r="H74" s="18">
        <v>0.68</v>
      </c>
      <c r="I74" s="18">
        <v>0.57</v>
      </c>
      <c r="J74" s="18">
        <v>0.44</v>
      </c>
    </row>
    <row r="75" s="15" customFormat="1" spans="1:10">
      <c r="A75" s="15" t="s">
        <v>757</v>
      </c>
      <c r="B75" s="18">
        <v>1.49</v>
      </c>
      <c r="C75" s="18">
        <v>1.78</v>
      </c>
      <c r="D75" s="18">
        <v>1.49</v>
      </c>
      <c r="E75" s="18">
        <v>1.62</v>
      </c>
      <c r="F75" s="18">
        <v>1.29</v>
      </c>
      <c r="G75" s="18">
        <v>1.1</v>
      </c>
      <c r="H75" s="18">
        <v>0.68</v>
      </c>
      <c r="I75" s="18">
        <v>0.57</v>
      </c>
      <c r="J75" s="18">
        <v>0.44</v>
      </c>
    </row>
    <row r="76" s="15" customFormat="1" spans="1:10">
      <c r="A76" s="15" t="s">
        <v>164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</row>
    <row r="77" s="15" customFormat="1" spans="1:10">
      <c r="A77" s="15" t="s">
        <v>165</v>
      </c>
      <c r="B77" s="15" t="s">
        <v>166</v>
      </c>
      <c r="C77" s="15" t="s">
        <v>167</v>
      </c>
      <c r="D77" s="15" t="s">
        <v>168</v>
      </c>
      <c r="E77" s="15" t="s">
        <v>169</v>
      </c>
      <c r="F77" s="15" t="s">
        <v>170</v>
      </c>
      <c r="G77" s="15" t="s">
        <v>171</v>
      </c>
      <c r="H77" s="15" t="s">
        <v>172</v>
      </c>
      <c r="I77" s="15" t="s">
        <v>173</v>
      </c>
      <c r="J77" s="15" t="s">
        <v>174</v>
      </c>
    </row>
    <row r="78" s="15" customFormat="1" spans="1:10">
      <c r="A78" s="15" t="s">
        <v>175</v>
      </c>
      <c r="B78" s="15" t="s">
        <v>176</v>
      </c>
      <c r="C78" s="15" t="s">
        <v>176</v>
      </c>
      <c r="D78" s="15" t="s">
        <v>176</v>
      </c>
      <c r="E78" s="15" t="s">
        <v>176</v>
      </c>
      <c r="F78" s="15" t="s">
        <v>176</v>
      </c>
      <c r="G78" s="15" t="s">
        <v>176</v>
      </c>
      <c r="H78" s="15" t="s">
        <v>177</v>
      </c>
      <c r="I78" s="15" t="s">
        <v>177</v>
      </c>
      <c r="J78" s="15" t="s">
        <v>177</v>
      </c>
    </row>
    <row r="79" s="15" customFormat="1" spans="1:10">
      <c r="A79" s="15" t="s">
        <v>178</v>
      </c>
      <c r="B79" s="15" t="s">
        <v>179</v>
      </c>
      <c r="C79" s="15" t="s">
        <v>179</v>
      </c>
      <c r="D79" s="15" t="s">
        <v>179</v>
      </c>
      <c r="E79" s="15" t="s">
        <v>179</v>
      </c>
      <c r="F79" s="15" t="s">
        <v>179</v>
      </c>
      <c r="G79" s="15" t="s">
        <v>179</v>
      </c>
      <c r="H79" s="15" t="s">
        <v>179</v>
      </c>
      <c r="I79" s="15" t="s">
        <v>179</v>
      </c>
      <c r="J79" s="15" t="s">
        <v>179</v>
      </c>
    </row>
    <row r="85" s="15" customFormat="1" spans="1:1">
      <c r="A85" s="15" t="s">
        <v>758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7"/>
  <sheetViews>
    <sheetView workbookViewId="0">
      <selection activeCell="A48" sqref="A48"/>
    </sheetView>
  </sheetViews>
  <sheetFormatPr defaultColWidth="8.72727272727273" defaultRowHeight="14"/>
  <cols>
    <col min="1" max="1" width="7.54545454545455" style="52" customWidth="1"/>
    <col min="2" max="2" width="18.8181818181818" customWidth="1"/>
    <col min="3" max="3" width="26.7272727272727" style="53" customWidth="1"/>
    <col min="4" max="4" width="19" customWidth="1"/>
    <col min="5" max="5" width="15.2727272727273"/>
    <col min="6" max="8" width="16.6363636363636"/>
    <col min="9" max="12" width="15.2727272727273"/>
  </cols>
  <sheetData>
    <row r="1" spans="1:12">
      <c r="B1" s="24"/>
      <c r="C1" s="24" t="s">
        <v>759</v>
      </c>
      <c r="D1" s="24" t="s">
        <v>760</v>
      </c>
      <c r="E1" s="24" t="s">
        <v>761</v>
      </c>
      <c r="F1" s="24" t="s">
        <v>762</v>
      </c>
      <c r="G1" s="24" t="s">
        <v>763</v>
      </c>
      <c r="H1" s="24" t="s">
        <v>764</v>
      </c>
      <c r="I1" s="24" t="s">
        <v>765</v>
      </c>
      <c r="J1" s="24" t="s">
        <v>766</v>
      </c>
      <c r="K1" s="24" t="s">
        <v>767</v>
      </c>
      <c r="L1" s="24" t="s">
        <v>768</v>
      </c>
    </row>
    <row r="2" ht="27" spans="1:12">
      <c r="B2" s="24" t="s">
        <v>769</v>
      </c>
      <c r="C2" s="27" t="s">
        <v>770</v>
      </c>
      <c r="D2" s="54">
        <v>0.25</v>
      </c>
    </row>
    <row r="3" spans="1:12">
      <c r="B3" s="24" t="s">
        <v>771</v>
      </c>
      <c r="C3" s="27" t="s">
        <v>772</v>
      </c>
      <c r="D3" s="28">
        <f>IS_Input!B56</f>
        <v>848231191.34</v>
      </c>
      <c r="E3" s="28">
        <f>IS_Input!C56</f>
        <v>1008089458.88</v>
      </c>
      <c r="F3" s="28">
        <f>IS_Input!D56</f>
        <v>833918669.7</v>
      </c>
      <c r="G3" s="28">
        <f>IS_Input!E56</f>
        <v>647006085.58</v>
      </c>
      <c r="H3" s="28">
        <f>IS_Input!F56</f>
        <v>514682567.07</v>
      </c>
      <c r="I3" s="28">
        <f>IS_Input!G56</f>
        <v>413076950.27</v>
      </c>
      <c r="J3" s="28">
        <f>IS_Input!H56</f>
        <v>244475736.27</v>
      </c>
      <c r="K3" s="28">
        <f>IS_Input!I56</f>
        <v>205956703.41</v>
      </c>
      <c r="L3" s="28">
        <f>IS_Input!J56</f>
        <v>159744960.1</v>
      </c>
    </row>
    <row r="4" spans="1:12">
      <c r="B4" s="24" t="s">
        <v>773</v>
      </c>
      <c r="C4" s="27"/>
      <c r="D4" s="28">
        <f>IS_Input!B53</f>
        <v>260714130.75</v>
      </c>
      <c r="E4" s="28">
        <f>IS_Input!C53</f>
        <v>289376409.75</v>
      </c>
      <c r="F4" s="28">
        <f>IS_Input!D53</f>
        <v>224010347.33</v>
      </c>
      <c r="G4" s="28">
        <f>IS_Input!E53</f>
        <v>153720765.81</v>
      </c>
      <c r="H4" s="28">
        <f>IS_Input!F53</f>
        <v>137748164.84</v>
      </c>
      <c r="I4" s="28">
        <f>IS_Input!G53</f>
        <v>101545464.56</v>
      </c>
      <c r="J4" s="28">
        <f>IS_Input!H53</f>
        <v>85553107.44</v>
      </c>
      <c r="K4" s="28">
        <f>IS_Input!I53</f>
        <v>50017036.51</v>
      </c>
      <c r="L4" s="28">
        <f>IS_Input!J53</f>
        <v>42676057.36</v>
      </c>
    </row>
    <row r="8" spans="1:12">
      <c r="A8" s="55" t="s">
        <v>774</v>
      </c>
      <c r="B8" s="23"/>
      <c r="C8" s="56"/>
      <c r="D8" s="23"/>
    </row>
    <row r="9" spans="1:12">
      <c r="A9" s="57" t="s">
        <v>775</v>
      </c>
      <c r="B9" s="24" t="s">
        <v>776</v>
      </c>
      <c r="C9" s="24" t="s">
        <v>777</v>
      </c>
      <c r="D9" s="24" t="s">
        <v>760</v>
      </c>
      <c r="E9" s="24" t="s">
        <v>761</v>
      </c>
      <c r="F9" s="24" t="s">
        <v>762</v>
      </c>
      <c r="G9" s="24" t="s">
        <v>763</v>
      </c>
      <c r="H9" s="24" t="s">
        <v>764</v>
      </c>
      <c r="I9" s="24" t="s">
        <v>765</v>
      </c>
      <c r="J9" s="24" t="s">
        <v>766</v>
      </c>
      <c r="K9" s="24" t="s">
        <v>767</v>
      </c>
      <c r="L9" s="24" t="s">
        <v>768</v>
      </c>
    </row>
    <row r="10" spans="1:12">
      <c r="A10" s="57">
        <v>10</v>
      </c>
      <c r="B10" s="24" t="s">
        <v>778</v>
      </c>
      <c r="C10" s="27" t="s">
        <v>779</v>
      </c>
      <c r="D10" s="28">
        <f>IS_Input!B27</f>
        <v>6249606.77</v>
      </c>
      <c r="E10" s="28">
        <f>IS_Input!C27</f>
        <v>4610251.09</v>
      </c>
      <c r="F10" s="28">
        <f>IS_Input!D27</f>
        <v>1311422.78</v>
      </c>
      <c r="G10" s="28">
        <f>IS_Input!E27</f>
        <v>394228.17</v>
      </c>
      <c r="H10" s="28">
        <f>IS_Input!F27</f>
        <v>74051.02</v>
      </c>
      <c r="I10" s="28">
        <f>IS_Input!G27</f>
        <v>0</v>
      </c>
      <c r="J10" s="28">
        <f>IS_Input!H27</f>
        <v>0</v>
      </c>
      <c r="K10" s="28">
        <f>IS_Input!I27</f>
        <v>0</v>
      </c>
      <c r="L10" s="28">
        <f>IS_Input!J27</f>
        <v>0</v>
      </c>
    </row>
    <row r="11" ht="27" spans="1:12">
      <c r="A11" s="57">
        <v>11</v>
      </c>
      <c r="B11" s="24" t="s">
        <v>780</v>
      </c>
      <c r="C11" s="27" t="s">
        <v>781</v>
      </c>
      <c r="D11" s="28">
        <f>IS_Input!B28</f>
        <v>37086795.67</v>
      </c>
      <c r="E11" s="28">
        <f>IS_Input!C28</f>
        <v>31023567.37</v>
      </c>
      <c r="F11" s="28">
        <f>IS_Input!D28</f>
        <v>31991799.43</v>
      </c>
      <c r="G11" s="28">
        <f>IS_Input!E28</f>
        <v>18258659.34</v>
      </c>
      <c r="H11" s="28">
        <f>IS_Input!F28</f>
        <v>12674421.46</v>
      </c>
      <c r="I11" s="28">
        <f>IS_Input!G28</f>
        <v>7073727.42</v>
      </c>
      <c r="J11" s="28">
        <f>IS_Input!H28</f>
        <v>0</v>
      </c>
      <c r="K11" s="28">
        <f>IS_Input!I28</f>
        <v>0</v>
      </c>
      <c r="L11" s="28">
        <f>IS_Input!J28</f>
        <v>0</v>
      </c>
    </row>
    <row r="12" ht="27" spans="1:12">
      <c r="A12" s="57">
        <v>12</v>
      </c>
      <c r="B12" s="24" t="s">
        <v>782</v>
      </c>
      <c r="C12" s="58" t="s">
        <v>783</v>
      </c>
      <c r="D12" s="28">
        <f>IS_Input!B34-IS_Input!B35</f>
        <v>-2192171.24</v>
      </c>
      <c r="E12" s="28">
        <f>IS_Input!C34-IS_Input!C35</f>
        <v>-4747780.28</v>
      </c>
      <c r="F12" s="28">
        <f>IS_Input!D34-IS_Input!D35</f>
        <v>-4083695.13</v>
      </c>
      <c r="G12" s="28">
        <f>IS_Input!E34-IS_Input!E35</f>
        <v>-4737561.95</v>
      </c>
      <c r="H12" s="28">
        <f>IS_Input!F34-IS_Input!F35</f>
        <v>-1168450.13</v>
      </c>
      <c r="I12" s="28">
        <f>IS_Input!G34-IS_Input!G35</f>
        <v>24630.14</v>
      </c>
      <c r="J12" s="28">
        <f>IS_Input!H34-IS_Input!H35</f>
        <v>0</v>
      </c>
      <c r="K12" s="28">
        <f>IS_Input!I34-IS_Input!I35</f>
        <v>0</v>
      </c>
      <c r="L12" s="28">
        <f>IS_Input!J34-IS_Input!J35</f>
        <v>0</v>
      </c>
    </row>
    <row r="13" ht="27" spans="1:12">
      <c r="A13" s="57">
        <v>13</v>
      </c>
      <c r="B13" s="24" t="s">
        <v>784</v>
      </c>
      <c r="C13" s="58" t="s">
        <v>785</v>
      </c>
      <c r="D13" s="28">
        <f>IS_Input!B39</f>
        <v>322384.66</v>
      </c>
      <c r="E13" s="28">
        <f>IS_Input!C39</f>
        <v>-7264</v>
      </c>
      <c r="F13" s="28">
        <f>IS_Input!D39</f>
        <v>0</v>
      </c>
      <c r="G13" s="28">
        <f>IS_Input!E39</f>
        <v>0</v>
      </c>
      <c r="H13" s="28">
        <f>IS_Input!F39</f>
        <v>0</v>
      </c>
      <c r="I13" s="28">
        <f>IS_Input!G39</f>
        <v>0</v>
      </c>
      <c r="J13" s="28">
        <f>IS_Input!H39</f>
        <v>0</v>
      </c>
      <c r="K13" s="28">
        <f>IS_Input!I39</f>
        <v>0</v>
      </c>
      <c r="L13" s="28">
        <f>IS_Input!J39</f>
        <v>0</v>
      </c>
    </row>
    <row r="14" ht="27" spans="1:12">
      <c r="A14" s="57">
        <v>14</v>
      </c>
      <c r="B14" s="26" t="s">
        <v>786</v>
      </c>
      <c r="C14" s="24" t="s">
        <v>787</v>
      </c>
      <c r="D14" s="28">
        <f>D10-D11-D12-D13</f>
        <v>-28967402.32</v>
      </c>
      <c r="E14" s="28">
        <f t="shared" ref="E14:L14" si="0">E10-E11-E12-E13</f>
        <v>-21658272</v>
      </c>
      <c r="F14" s="28">
        <f t="shared" si="0"/>
        <v>-26596681.52</v>
      </c>
      <c r="G14" s="28">
        <f t="shared" si="0"/>
        <v>-13126869.22</v>
      </c>
      <c r="H14" s="28">
        <f t="shared" si="0"/>
        <v>-11431920.31</v>
      </c>
      <c r="I14" s="28">
        <f t="shared" si="0"/>
        <v>-7098357.56</v>
      </c>
      <c r="J14" s="28">
        <f t="shared" si="0"/>
        <v>0</v>
      </c>
      <c r="K14" s="28">
        <f t="shared" si="0"/>
        <v>0</v>
      </c>
      <c r="L14" s="28">
        <f t="shared" si="0"/>
        <v>0</v>
      </c>
    </row>
    <row r="19" spans="1:12">
      <c r="A19" s="52" t="s">
        <v>788</v>
      </c>
    </row>
    <row r="20" ht="27" spans="1:12">
      <c r="A20" s="57">
        <v>20</v>
      </c>
      <c r="B20" s="26" t="s">
        <v>789</v>
      </c>
      <c r="C20" s="27" t="s">
        <v>790</v>
      </c>
      <c r="D20" s="28">
        <f>D14*$D$2</f>
        <v>-7241850.58</v>
      </c>
      <c r="E20" s="28">
        <f t="shared" ref="E20:L20" si="1">E14*$D$2</f>
        <v>-5414568</v>
      </c>
      <c r="F20" s="28">
        <f t="shared" si="1"/>
        <v>-6649170.38</v>
      </c>
      <c r="G20" s="28">
        <f t="shared" si="1"/>
        <v>-3281717.305</v>
      </c>
      <c r="H20" s="28">
        <f t="shared" si="1"/>
        <v>-2857980.0775</v>
      </c>
      <c r="I20" s="28">
        <f t="shared" si="1"/>
        <v>-1774589.39</v>
      </c>
      <c r="J20" s="28">
        <f t="shared" si="1"/>
        <v>0</v>
      </c>
      <c r="K20" s="28">
        <f t="shared" si="1"/>
        <v>0</v>
      </c>
      <c r="L20" s="28">
        <f t="shared" si="1"/>
        <v>0</v>
      </c>
    </row>
    <row r="21" ht="27" spans="1:12">
      <c r="A21" s="57">
        <v>21</v>
      </c>
      <c r="B21" s="24" t="s">
        <v>791</v>
      </c>
      <c r="C21" s="27" t="s">
        <v>792</v>
      </c>
      <c r="D21" s="28">
        <f>D4+D20</f>
        <v>253472280.17</v>
      </c>
      <c r="E21" s="28">
        <f t="shared" ref="E21:L21" si="2">E4+E20</f>
        <v>283961841.75</v>
      </c>
      <c r="F21" s="28">
        <f t="shared" si="2"/>
        <v>217361176.95</v>
      </c>
      <c r="G21" s="28">
        <f t="shared" si="2"/>
        <v>150439048.505</v>
      </c>
      <c r="H21" s="28">
        <f t="shared" si="2"/>
        <v>134890184.7625</v>
      </c>
      <c r="I21" s="28">
        <f t="shared" si="2"/>
        <v>99770875.17</v>
      </c>
      <c r="J21" s="28">
        <f t="shared" si="2"/>
        <v>85553107.44</v>
      </c>
      <c r="K21" s="28">
        <f t="shared" si="2"/>
        <v>50017036.51</v>
      </c>
      <c r="L21" s="28">
        <f t="shared" si="2"/>
        <v>42676057.36</v>
      </c>
    </row>
    <row r="29" spans="1:12">
      <c r="A29" s="59" t="s">
        <v>793</v>
      </c>
    </row>
    <row r="30" ht="27" spans="1:12">
      <c r="A30" s="57">
        <v>30</v>
      </c>
      <c r="B30" s="24" t="s">
        <v>794</v>
      </c>
      <c r="C30" s="27" t="s">
        <v>795</v>
      </c>
      <c r="D30" s="28">
        <f>IS_Input!B52+D14</f>
        <v>1079977919.77</v>
      </c>
      <c r="E30" s="28">
        <f>IS_Input!C52+E14</f>
        <v>1275807596.63</v>
      </c>
      <c r="F30" s="28">
        <f>IS_Input!D52+F14</f>
        <v>1031332335.51</v>
      </c>
      <c r="G30" s="28">
        <f>IS_Input!E52+G14</f>
        <v>787599982.17</v>
      </c>
      <c r="H30" s="28">
        <f>IS_Input!F52+H14</f>
        <v>640998811.6</v>
      </c>
      <c r="I30" s="28">
        <f>IS_Input!G52+I14</f>
        <v>507524057.27</v>
      </c>
      <c r="J30" s="28">
        <f>IS_Input!H52+J14</f>
        <v>330028843.71</v>
      </c>
      <c r="K30" s="28">
        <f>IS_Input!I52+K14</f>
        <v>255973739.92</v>
      </c>
      <c r="L30" s="28">
        <f>IS_Input!J52+L14</f>
        <v>202421017.46</v>
      </c>
    </row>
    <row r="31" spans="1:12">
      <c r="A31" s="57">
        <v>31</v>
      </c>
      <c r="B31" s="24" t="s">
        <v>796</v>
      </c>
      <c r="C31" s="27" t="s">
        <v>797</v>
      </c>
      <c r="D31" s="28">
        <f>D21</f>
        <v>253472280.17</v>
      </c>
      <c r="E31" s="28">
        <f t="shared" ref="E31:L31" si="3">E21</f>
        <v>283961841.75</v>
      </c>
      <c r="F31" s="28">
        <f t="shared" si="3"/>
        <v>217361176.95</v>
      </c>
      <c r="G31" s="28">
        <f t="shared" si="3"/>
        <v>150439048.505</v>
      </c>
      <c r="H31" s="28">
        <f t="shared" si="3"/>
        <v>134890184.7625</v>
      </c>
      <c r="I31" s="28">
        <f t="shared" si="3"/>
        <v>99770875.17</v>
      </c>
      <c r="J31" s="28">
        <f t="shared" si="3"/>
        <v>85553107.44</v>
      </c>
      <c r="K31" s="28">
        <f t="shared" si="3"/>
        <v>50017036.51</v>
      </c>
      <c r="L31" s="28">
        <f t="shared" si="3"/>
        <v>42676057.36</v>
      </c>
    </row>
    <row r="32" ht="27" spans="1:12">
      <c r="A32" s="57">
        <v>32</v>
      </c>
      <c r="B32" s="24" t="s">
        <v>798</v>
      </c>
      <c r="C32" s="24" t="s">
        <v>799</v>
      </c>
      <c r="D32" s="28">
        <f>D30-D31</f>
        <v>826505639.6</v>
      </c>
      <c r="E32" s="28">
        <f t="shared" ref="E32:L32" si="4">E30-E31</f>
        <v>991845754.88</v>
      </c>
      <c r="F32" s="28">
        <f t="shared" si="4"/>
        <v>813971158.56</v>
      </c>
      <c r="G32" s="28">
        <f t="shared" si="4"/>
        <v>637160933.665</v>
      </c>
      <c r="H32" s="28">
        <f t="shared" si="4"/>
        <v>506108626.8375</v>
      </c>
      <c r="I32" s="28">
        <f t="shared" si="4"/>
        <v>407753182.1</v>
      </c>
      <c r="J32" s="28">
        <f t="shared" si="4"/>
        <v>244475736.27</v>
      </c>
      <c r="K32" s="28">
        <f t="shared" si="4"/>
        <v>205956703.41</v>
      </c>
      <c r="L32" s="28">
        <f t="shared" si="4"/>
        <v>159744960.1</v>
      </c>
    </row>
    <row r="33" spans="1:12">
      <c r="A33" s="57">
        <v>33</v>
      </c>
      <c r="B33" s="24" t="s">
        <v>800</v>
      </c>
      <c r="C33" s="27" t="s">
        <v>801</v>
      </c>
      <c r="D33" s="28">
        <f>D14</f>
        <v>-28967402.32</v>
      </c>
      <c r="E33" s="28">
        <f t="shared" ref="E33:L33" si="5">E14</f>
        <v>-21658272</v>
      </c>
      <c r="F33" s="28">
        <f t="shared" si="5"/>
        <v>-26596681.52</v>
      </c>
      <c r="G33" s="28">
        <f t="shared" si="5"/>
        <v>-13126869.22</v>
      </c>
      <c r="H33" s="28">
        <f t="shared" si="5"/>
        <v>-11431920.31</v>
      </c>
      <c r="I33" s="28">
        <f t="shared" si="5"/>
        <v>-7098357.56</v>
      </c>
      <c r="J33" s="28">
        <f t="shared" si="5"/>
        <v>0</v>
      </c>
      <c r="K33" s="28">
        <f t="shared" si="5"/>
        <v>0</v>
      </c>
      <c r="L33" s="28">
        <f t="shared" si="5"/>
        <v>0</v>
      </c>
    </row>
    <row r="34" spans="1:12">
      <c r="A34" s="57">
        <v>34</v>
      </c>
      <c r="B34" s="24" t="s">
        <v>802</v>
      </c>
      <c r="C34" s="27" t="s">
        <v>803</v>
      </c>
      <c r="D34" s="28">
        <f>D20</f>
        <v>-7241850.58</v>
      </c>
      <c r="E34" s="28">
        <f t="shared" ref="E34:L34" si="6">E20</f>
        <v>-5414568</v>
      </c>
      <c r="F34" s="28">
        <f t="shared" si="6"/>
        <v>-6649170.38</v>
      </c>
      <c r="G34" s="28">
        <f t="shared" si="6"/>
        <v>-3281717.305</v>
      </c>
      <c r="H34" s="28">
        <f t="shared" si="6"/>
        <v>-2857980.0775</v>
      </c>
      <c r="I34" s="28">
        <f t="shared" si="6"/>
        <v>-1774589.39</v>
      </c>
      <c r="J34" s="28">
        <f t="shared" si="6"/>
        <v>0</v>
      </c>
      <c r="K34" s="28">
        <f t="shared" si="6"/>
        <v>0</v>
      </c>
      <c r="L34" s="28">
        <f t="shared" si="6"/>
        <v>0</v>
      </c>
    </row>
    <row r="35" ht="27" spans="1:12">
      <c r="A35" s="57">
        <v>35</v>
      </c>
      <c r="B35" s="24" t="s">
        <v>804</v>
      </c>
      <c r="C35" s="24" t="s">
        <v>805</v>
      </c>
      <c r="D35" s="28">
        <f>D33-D34</f>
        <v>-21725551.74</v>
      </c>
      <c r="E35" s="28">
        <f t="shared" ref="E35:L35" si="7">E33-E34</f>
        <v>-16243704</v>
      </c>
      <c r="F35" s="28">
        <f t="shared" si="7"/>
        <v>-19947511.14</v>
      </c>
      <c r="G35" s="28">
        <f t="shared" si="7"/>
        <v>-9845151.915</v>
      </c>
      <c r="H35" s="28">
        <f t="shared" si="7"/>
        <v>-8573940.2325</v>
      </c>
      <c r="I35" s="28">
        <f t="shared" si="7"/>
        <v>-5323768.17</v>
      </c>
      <c r="J35" s="28">
        <f t="shared" si="7"/>
        <v>0</v>
      </c>
      <c r="K35" s="28">
        <f t="shared" si="7"/>
        <v>0</v>
      </c>
      <c r="L35" s="28">
        <f t="shared" si="7"/>
        <v>0</v>
      </c>
    </row>
    <row r="39" spans="1:12">
      <c r="A39" s="59" t="s">
        <v>806</v>
      </c>
    </row>
    <row r="40" ht="27" spans="1:12">
      <c r="A40" s="57">
        <v>40</v>
      </c>
      <c r="B40" s="24" t="s">
        <v>807</v>
      </c>
      <c r="C40" s="27" t="s">
        <v>808</v>
      </c>
      <c r="D40" s="28">
        <f>D32-D35</f>
        <v>848231191.34</v>
      </c>
      <c r="E40" s="28">
        <f t="shared" ref="E40:L40" si="8">E32-E35</f>
        <v>1008089458.88</v>
      </c>
      <c r="F40" s="28">
        <f t="shared" si="8"/>
        <v>833918669.7</v>
      </c>
      <c r="G40" s="28">
        <f t="shared" si="8"/>
        <v>647006085.58</v>
      </c>
      <c r="H40" s="28">
        <f t="shared" si="8"/>
        <v>514682567.07</v>
      </c>
      <c r="I40" s="28">
        <f t="shared" si="8"/>
        <v>413076950.27</v>
      </c>
      <c r="J40" s="28">
        <f t="shared" si="8"/>
        <v>244475736.27</v>
      </c>
      <c r="K40" s="28">
        <f t="shared" si="8"/>
        <v>205956703.41</v>
      </c>
      <c r="L40" s="28">
        <f t="shared" si="8"/>
        <v>159744960.1</v>
      </c>
    </row>
    <row r="41" ht="27" spans="1:12">
      <c r="A41" s="57">
        <v>41</v>
      </c>
      <c r="B41" s="24" t="s">
        <v>809</v>
      </c>
      <c r="C41" s="24" t="s">
        <v>810</v>
      </c>
      <c r="D41" s="28">
        <f>D40-D3</f>
        <v>0</v>
      </c>
      <c r="E41" s="28">
        <f t="shared" ref="E41:L41" si="9">E40-E3</f>
        <v>0</v>
      </c>
      <c r="F41" s="28">
        <f t="shared" si="9"/>
        <v>0</v>
      </c>
      <c r="G41" s="28">
        <f t="shared" si="9"/>
        <v>0</v>
      </c>
      <c r="H41" s="28">
        <f t="shared" si="9"/>
        <v>0</v>
      </c>
      <c r="I41" s="28">
        <f t="shared" si="9"/>
        <v>0</v>
      </c>
      <c r="J41" s="28">
        <f t="shared" si="9"/>
        <v>0</v>
      </c>
      <c r="K41" s="28">
        <f t="shared" si="9"/>
        <v>0</v>
      </c>
      <c r="L41" s="28">
        <f t="shared" si="9"/>
        <v>0</v>
      </c>
    </row>
    <row r="42" spans="1:12">
      <c r="A42" s="57">
        <v>42</v>
      </c>
      <c r="B42" s="24" t="s">
        <v>811</v>
      </c>
      <c r="C42" s="27"/>
      <c r="D42" s="28">
        <f>IS_Input!B67</f>
        <v>0</v>
      </c>
      <c r="E42" s="28">
        <f>IS_Input!C67</f>
        <v>0</v>
      </c>
      <c r="F42" s="28">
        <f>IS_Input!D67</f>
        <v>0</v>
      </c>
      <c r="G42" s="28">
        <f>IS_Input!E67</f>
        <v>0</v>
      </c>
      <c r="H42" s="28">
        <f>IS_Input!F67</f>
        <v>0</v>
      </c>
      <c r="I42" s="28">
        <f>IS_Input!G67</f>
        <v>0</v>
      </c>
      <c r="J42" s="28">
        <f>IS_Input!H67</f>
        <v>0</v>
      </c>
      <c r="K42" s="28">
        <f>IS_Input!I67</f>
        <v>0</v>
      </c>
      <c r="L42" s="28">
        <f>IS_Input!J67</f>
        <v>0</v>
      </c>
    </row>
    <row r="43" spans="1:12">
      <c r="A43" s="57">
        <v>43</v>
      </c>
      <c r="B43" s="24" t="s">
        <v>812</v>
      </c>
      <c r="C43" s="27" t="s">
        <v>813</v>
      </c>
      <c r="D43" s="28">
        <f>D40+D42</f>
        <v>848231191.34</v>
      </c>
      <c r="E43" s="28">
        <f t="shared" ref="E43:L43" si="10">E40+E42</f>
        <v>1008089458.88</v>
      </c>
      <c r="F43" s="28">
        <f t="shared" si="10"/>
        <v>833918669.7</v>
      </c>
      <c r="G43" s="28">
        <f t="shared" si="10"/>
        <v>647006085.58</v>
      </c>
      <c r="H43" s="28">
        <f t="shared" si="10"/>
        <v>514682567.07</v>
      </c>
      <c r="I43" s="28">
        <f t="shared" si="10"/>
        <v>413076950.27</v>
      </c>
      <c r="J43" s="28">
        <f t="shared" si="10"/>
        <v>244475736.27</v>
      </c>
      <c r="K43" s="28">
        <f t="shared" si="10"/>
        <v>205956703.41</v>
      </c>
      <c r="L43" s="28">
        <f t="shared" si="10"/>
        <v>159744960.1</v>
      </c>
    </row>
    <row r="47" spans="1:12">
      <c r="A47" s="52" t="s">
        <v>814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5"/>
  <sheetViews>
    <sheetView workbookViewId="0">
      <selection activeCell="D46" sqref="D46"/>
    </sheetView>
  </sheetViews>
  <sheetFormatPr defaultColWidth="9" defaultRowHeight="12.5"/>
  <cols>
    <col min="1" max="1" width="53.0909090909091" style="39" customWidth="1"/>
    <col min="2" max="2" width="16.4545454545455" style="40" customWidth="1"/>
    <col min="3" max="12" width="15.5727272727273" style="39" customWidth="1"/>
    <col min="13" max="16384" width="9" style="39"/>
  </cols>
  <sheetData>
    <row r="1" s="39" customFormat="1" ht="13" spans="1:12">
      <c r="A1" s="41" t="s">
        <v>0</v>
      </c>
      <c r="B1" s="42" t="s">
        <v>815</v>
      </c>
      <c r="C1" s="41" t="s">
        <v>816</v>
      </c>
      <c r="D1" s="41" t="s">
        <v>1</v>
      </c>
      <c r="E1" s="41" t="s">
        <v>2</v>
      </c>
      <c r="F1" s="41" t="s">
        <v>3</v>
      </c>
      <c r="G1" s="41" t="s">
        <v>4</v>
      </c>
      <c r="H1" s="41" t="s">
        <v>5</v>
      </c>
      <c r="I1" s="41" t="s">
        <v>6</v>
      </c>
      <c r="J1" s="41" t="s">
        <v>7</v>
      </c>
      <c r="K1" s="41" t="s">
        <v>8</v>
      </c>
      <c r="L1" s="41" t="s">
        <v>9</v>
      </c>
    </row>
    <row r="2" s="39" customFormat="1" spans="1:12">
      <c r="A2" s="39" t="s">
        <v>10</v>
      </c>
      <c r="B2" s="40"/>
      <c r="C2" s="39" t="s">
        <v>11</v>
      </c>
      <c r="D2" s="39" t="s">
        <v>11</v>
      </c>
      <c r="E2" s="39" t="s">
        <v>11</v>
      </c>
      <c r="F2" s="39" t="s">
        <v>11</v>
      </c>
      <c r="G2" s="39" t="s">
        <v>11</v>
      </c>
      <c r="H2" s="39" t="s">
        <v>11</v>
      </c>
      <c r="I2" s="39" t="s">
        <v>11</v>
      </c>
      <c r="J2" s="39" t="s">
        <v>11</v>
      </c>
      <c r="K2" s="39" t="s">
        <v>11</v>
      </c>
      <c r="L2" s="39" t="s">
        <v>11</v>
      </c>
    </row>
    <row r="3" s="39" customFormat="1" spans="1:12">
      <c r="A3" s="39" t="s">
        <v>12</v>
      </c>
      <c r="B3" s="40"/>
      <c r="C3" s="39" t="s">
        <v>13</v>
      </c>
      <c r="D3" s="39" t="s">
        <v>13</v>
      </c>
      <c r="E3" s="39" t="s">
        <v>13</v>
      </c>
      <c r="F3" s="39" t="s">
        <v>13</v>
      </c>
      <c r="G3" s="39" t="s">
        <v>13</v>
      </c>
      <c r="H3" s="39" t="s">
        <v>13</v>
      </c>
      <c r="I3" s="39" t="s">
        <v>13</v>
      </c>
      <c r="J3" s="39" t="s">
        <v>13</v>
      </c>
      <c r="K3" s="39" t="s">
        <v>13</v>
      </c>
      <c r="L3" s="39" t="s">
        <v>13</v>
      </c>
    </row>
    <row r="4" s="39" customFormat="1" spans="1:12">
      <c r="A4" s="39" t="s">
        <v>14</v>
      </c>
      <c r="B4" s="40"/>
      <c r="C4" s="39" t="s">
        <v>15</v>
      </c>
      <c r="D4" s="39" t="s">
        <v>15</v>
      </c>
      <c r="E4" s="39" t="s">
        <v>15</v>
      </c>
      <c r="F4" s="39" t="s">
        <v>15</v>
      </c>
      <c r="G4" s="39" t="s">
        <v>15</v>
      </c>
      <c r="H4" s="39" t="s">
        <v>15</v>
      </c>
      <c r="I4" s="39" t="s">
        <v>15</v>
      </c>
      <c r="J4" s="39" t="s">
        <v>15</v>
      </c>
      <c r="K4" s="39" t="s">
        <v>15</v>
      </c>
      <c r="L4" s="39" t="s">
        <v>15</v>
      </c>
    </row>
    <row r="5" s="39" customFormat="1" ht="13" spans="1:12">
      <c r="A5" s="43" t="s">
        <v>687</v>
      </c>
      <c r="B5" s="44"/>
      <c r="C5" s="45">
        <v>4200446696.61</v>
      </c>
      <c r="D5" s="45">
        <v>6129461218.66</v>
      </c>
      <c r="E5" s="45">
        <v>6249319078.33</v>
      </c>
      <c r="F5" s="45">
        <v>5682141446.75</v>
      </c>
      <c r="G5" s="45">
        <v>4651100995.07</v>
      </c>
      <c r="H5" s="45">
        <v>3329297918.41</v>
      </c>
      <c r="I5" s="45">
        <v>3310864083.33</v>
      </c>
      <c r="J5" s="45">
        <v>2918572854.23</v>
      </c>
      <c r="K5" s="45">
        <v>2210529514.27</v>
      </c>
      <c r="L5" s="45">
        <v>1544300894.17</v>
      </c>
    </row>
    <row r="6" s="39" customFormat="1" spans="1:12">
      <c r="A6" s="39" t="s">
        <v>688</v>
      </c>
      <c r="B6" s="40" t="s">
        <v>817</v>
      </c>
      <c r="C6" s="46">
        <v>4200446696.61</v>
      </c>
      <c r="D6" s="46">
        <v>6129461218.66</v>
      </c>
      <c r="E6" s="46">
        <v>6249319078.33</v>
      </c>
      <c r="F6" s="46">
        <v>5682141446.75</v>
      </c>
      <c r="G6" s="46">
        <v>4651100995.07</v>
      </c>
      <c r="H6" s="46">
        <v>3329297918.41</v>
      </c>
      <c r="I6" s="46">
        <v>3310864083.33</v>
      </c>
      <c r="J6" s="46">
        <v>2918572854.23</v>
      </c>
      <c r="K6" s="46">
        <v>2210529514.27</v>
      </c>
      <c r="L6" s="46">
        <v>1544300894.17</v>
      </c>
    </row>
    <row r="7" s="39" customFormat="1" spans="1:12">
      <c r="A7" s="39" t="s">
        <v>689</v>
      </c>
      <c r="B7" s="40"/>
    </row>
    <row r="8" s="39" customFormat="1" spans="1:12">
      <c r="A8" s="39" t="s">
        <v>690</v>
      </c>
      <c r="B8" s="40"/>
    </row>
    <row r="9" s="39" customFormat="1" spans="1:12">
      <c r="A9" s="39" t="s">
        <v>691</v>
      </c>
      <c r="B9" s="40"/>
    </row>
    <row r="10" s="39" customFormat="1" spans="1:12">
      <c r="A10" s="39" t="s">
        <v>692</v>
      </c>
      <c r="B10" s="40" t="s">
        <v>817</v>
      </c>
    </row>
    <row r="11" s="39" customFormat="1" spans="1:12">
      <c r="A11" s="39" t="s">
        <v>693</v>
      </c>
      <c r="B11" s="40"/>
    </row>
    <row r="12" s="39" customFormat="1" ht="13" spans="1:12">
      <c r="A12" s="43" t="s">
        <v>694</v>
      </c>
      <c r="B12" s="44"/>
      <c r="C12" s="45">
        <v>3605973359.87</v>
      </c>
      <c r="D12" s="45">
        <v>4986304017.22</v>
      </c>
      <c r="E12" s="45">
        <v>4956030756.55</v>
      </c>
      <c r="F12" s="45">
        <v>4602225206.35</v>
      </c>
      <c r="G12" s="45">
        <v>3852265975.81</v>
      </c>
      <c r="H12" s="45">
        <v>2668115682.12</v>
      </c>
      <c r="I12" s="45">
        <v>2792297025.16</v>
      </c>
      <c r="J12" s="45">
        <v>2600365253.35</v>
      </c>
      <c r="K12" s="45">
        <v>1964015693.43</v>
      </c>
      <c r="L12" s="45">
        <v>1341079295.05</v>
      </c>
    </row>
    <row r="13" s="39" customFormat="1" spans="1:12">
      <c r="A13" s="39" t="s">
        <v>695</v>
      </c>
      <c r="B13" s="40" t="s">
        <v>817</v>
      </c>
      <c r="C13" s="46">
        <v>3172464660.17</v>
      </c>
      <c r="D13" s="46">
        <v>4348428835.47</v>
      </c>
      <c r="E13" s="46">
        <v>4265327595.67</v>
      </c>
      <c r="F13" s="46">
        <v>3935937902.33</v>
      </c>
      <c r="G13" s="46">
        <v>3256120322.9</v>
      </c>
      <c r="H13" s="46">
        <v>2264070984.57</v>
      </c>
      <c r="I13" s="46">
        <v>2160213689.3</v>
      </c>
      <c r="J13" s="46">
        <v>2037726393.21</v>
      </c>
      <c r="K13" s="46">
        <v>1531906092.31</v>
      </c>
      <c r="L13" s="46">
        <v>969430382.55</v>
      </c>
    </row>
    <row r="14" s="39" customFormat="1" spans="1:12">
      <c r="A14" s="39" t="s">
        <v>696</v>
      </c>
      <c r="B14" s="40"/>
    </row>
    <row r="15" s="39" customFormat="1" spans="1:12">
      <c r="A15" s="39" t="s">
        <v>697</v>
      </c>
      <c r="B15" s="40"/>
    </row>
    <row r="16" s="39" customFormat="1" spans="1:12">
      <c r="A16" s="39" t="s">
        <v>698</v>
      </c>
      <c r="B16" s="40"/>
    </row>
    <row r="17" s="39" customFormat="1" spans="1:12">
      <c r="A17" s="39" t="s">
        <v>699</v>
      </c>
      <c r="B17" s="40"/>
    </row>
    <row r="18" s="39" customFormat="1" spans="1:12">
      <c r="A18" s="39" t="s">
        <v>700</v>
      </c>
      <c r="B18" s="40"/>
    </row>
    <row r="19" s="39" customFormat="1" spans="1:12">
      <c r="A19" s="39" t="s">
        <v>701</v>
      </c>
      <c r="B19" s="40"/>
    </row>
    <row r="20" s="39" customFormat="1" spans="1:12">
      <c r="A20" s="39" t="s">
        <v>702</v>
      </c>
      <c r="B20" s="40"/>
    </row>
    <row r="21" s="39" customFormat="1" spans="1:12">
      <c r="A21" s="39" t="s">
        <v>703</v>
      </c>
      <c r="B21" s="40"/>
    </row>
    <row r="22" s="39" customFormat="1" spans="1:12">
      <c r="A22" s="39" t="s">
        <v>704</v>
      </c>
      <c r="B22" s="40" t="s">
        <v>817</v>
      </c>
      <c r="C22" s="46">
        <v>35172662.25</v>
      </c>
      <c r="D22" s="46">
        <v>58993249.04</v>
      </c>
      <c r="E22" s="46">
        <v>56153246.91</v>
      </c>
      <c r="F22" s="46">
        <v>42917340.06</v>
      </c>
      <c r="G22" s="46">
        <v>37532317.48</v>
      </c>
      <c r="H22" s="46">
        <v>34089083.25</v>
      </c>
      <c r="I22" s="46">
        <v>37951181.48</v>
      </c>
      <c r="J22" s="46">
        <v>28000735.43</v>
      </c>
      <c r="K22" s="46">
        <v>28023754.49</v>
      </c>
      <c r="L22" s="46">
        <v>24206649.21</v>
      </c>
    </row>
    <row r="23" s="39" customFormat="1" spans="1:12">
      <c r="A23" s="39" t="s">
        <v>705</v>
      </c>
      <c r="B23" s="40" t="s">
        <v>817</v>
      </c>
      <c r="C23" s="46">
        <v>230233707.6</v>
      </c>
      <c r="D23" s="46">
        <v>304923156.75</v>
      </c>
      <c r="E23" s="46">
        <v>285858877.31</v>
      </c>
      <c r="F23" s="46">
        <v>267651684.09</v>
      </c>
      <c r="G23" s="46">
        <v>222391022.83</v>
      </c>
      <c r="H23" s="46">
        <v>172179694.23</v>
      </c>
      <c r="I23" s="46">
        <v>410723752.45</v>
      </c>
      <c r="J23" s="46">
        <v>343598741.77</v>
      </c>
      <c r="K23" s="46">
        <v>286174671.83</v>
      </c>
      <c r="L23" s="46">
        <v>197063390.7</v>
      </c>
    </row>
    <row r="24" s="39" customFormat="1" spans="1:12">
      <c r="A24" s="39" t="s">
        <v>706</v>
      </c>
      <c r="B24" s="40" t="s">
        <v>817</v>
      </c>
      <c r="C24" s="46">
        <v>105609428.86</v>
      </c>
      <c r="D24" s="46">
        <v>151680193.87</v>
      </c>
      <c r="E24" s="46">
        <v>165913428.14</v>
      </c>
      <c r="F24" s="46">
        <v>204335908.14</v>
      </c>
      <c r="G24" s="46">
        <v>207840733.18</v>
      </c>
      <c r="H24" s="46">
        <v>143128813.19</v>
      </c>
      <c r="I24" s="46">
        <v>122004890.64</v>
      </c>
      <c r="J24" s="46">
        <v>128305857.05</v>
      </c>
      <c r="K24" s="46">
        <v>74180151.32</v>
      </c>
      <c r="L24" s="46">
        <v>71364015.33</v>
      </c>
    </row>
    <row r="25" s="39" customFormat="1" spans="1:12">
      <c r="A25" s="39" t="s">
        <v>707</v>
      </c>
      <c r="B25" s="40" t="s">
        <v>817</v>
      </c>
      <c r="C25" s="46">
        <v>78335949.99</v>
      </c>
      <c r="D25" s="46">
        <v>151760726.71</v>
      </c>
      <c r="E25" s="46">
        <v>210426000.99</v>
      </c>
      <c r="F25" s="46">
        <v>184885908.98</v>
      </c>
      <c r="G25" s="46">
        <v>141554165.27</v>
      </c>
      <c r="H25" s="46">
        <v>61678850.75</v>
      </c>
      <c r="I25" s="46">
        <v>68644760.63</v>
      </c>
      <c r="J25" s="46">
        <v>48742253.67</v>
      </c>
      <c r="K25" s="46">
        <v>47311154.63</v>
      </c>
      <c r="L25" s="46">
        <v>47605906.56</v>
      </c>
    </row>
    <row r="26" s="39" customFormat="1" ht="13" spans="1:12">
      <c r="A26" s="39" t="s">
        <v>708</v>
      </c>
      <c r="B26" s="47" t="s">
        <v>815</v>
      </c>
      <c r="C26" s="46">
        <v>-15843049</v>
      </c>
      <c r="D26" s="46">
        <v>-29482144.62</v>
      </c>
      <c r="E26" s="46">
        <v>-27648392.47</v>
      </c>
      <c r="F26" s="46">
        <v>-33503537.25</v>
      </c>
      <c r="G26" s="46">
        <v>-13172585.85</v>
      </c>
      <c r="H26" s="46">
        <v>-7031743.87</v>
      </c>
      <c r="I26" s="46">
        <v>-7241249.34</v>
      </c>
      <c r="J26" s="46">
        <v>-1345146.9</v>
      </c>
      <c r="K26" s="46">
        <v>1106103.81</v>
      </c>
      <c r="L26" s="46">
        <v>1800267</v>
      </c>
    </row>
    <row r="27" s="39" customFormat="1" spans="1:12">
      <c r="A27" s="39" t="s">
        <v>709</v>
      </c>
      <c r="B27" s="40" t="s">
        <v>818</v>
      </c>
      <c r="C27" s="46">
        <v>5349900.6</v>
      </c>
      <c r="D27" s="46">
        <v>6249606.77</v>
      </c>
      <c r="E27" s="46">
        <v>4610251.09</v>
      </c>
      <c r="F27" s="46">
        <v>1311422.78</v>
      </c>
      <c r="G27" s="46">
        <v>394228.17</v>
      </c>
      <c r="H27" s="46">
        <v>74051.02</v>
      </c>
    </row>
    <row r="28" s="39" customFormat="1" spans="1:12">
      <c r="A28" s="39" t="s">
        <v>710</v>
      </c>
      <c r="B28" s="40" t="s">
        <v>818</v>
      </c>
      <c r="C28" s="46">
        <v>17216770.17</v>
      </c>
      <c r="D28" s="46">
        <v>37086795.67</v>
      </c>
      <c r="E28" s="46">
        <v>31023567.37</v>
      </c>
      <c r="F28" s="46">
        <v>31991799.43</v>
      </c>
      <c r="G28" s="46">
        <v>18258659.34</v>
      </c>
      <c r="H28" s="46">
        <v>12674421.46</v>
      </c>
      <c r="I28" s="46">
        <v>7073727.42</v>
      </c>
    </row>
    <row r="29" s="39" customFormat="1" spans="1:12">
      <c r="A29" s="39" t="s">
        <v>711</v>
      </c>
      <c r="B29" s="40" t="s">
        <v>817</v>
      </c>
      <c r="J29" s="46">
        <v>15336419.12</v>
      </c>
      <c r="K29" s="46">
        <v>-4686234.96</v>
      </c>
      <c r="L29" s="46">
        <v>29608683.7</v>
      </c>
    </row>
    <row r="30" s="39" customFormat="1" spans="1:12">
      <c r="A30" s="39" t="s">
        <v>712</v>
      </c>
      <c r="B30" s="40" t="s">
        <v>817</v>
      </c>
    </row>
    <row r="31" s="39" customFormat="1" spans="1:12">
      <c r="A31" s="39" t="s">
        <v>713</v>
      </c>
      <c r="B31" s="40"/>
    </row>
    <row r="32" s="39" customFormat="1" ht="13" spans="1:12">
      <c r="A32" s="43" t="s">
        <v>714</v>
      </c>
      <c r="B32" s="44"/>
    </row>
    <row r="33" s="39" customFormat="1" spans="1:12">
      <c r="A33" s="39" t="s">
        <v>715</v>
      </c>
      <c r="B33" s="40" t="s">
        <v>817</v>
      </c>
      <c r="C33" s="46">
        <v>14264614.29</v>
      </c>
      <c r="D33" s="46">
        <v>18837250.31</v>
      </c>
      <c r="E33" s="46">
        <v>10829712.99</v>
      </c>
      <c r="F33" s="46">
        <v>11984237.74</v>
      </c>
      <c r="G33" s="46">
        <v>5494552.95</v>
      </c>
      <c r="H33" s="46">
        <v>7855300.66</v>
      </c>
      <c r="I33" s="46">
        <v>2762594.72</v>
      </c>
      <c r="J33" s="46">
        <v>12769314.06</v>
      </c>
      <c r="K33" s="46">
        <v>2403689.31</v>
      </c>
    </row>
    <row r="34" s="39" customFormat="1" spans="1:12">
      <c r="A34" s="39" t="s">
        <v>716</v>
      </c>
      <c r="B34" s="40"/>
      <c r="C34" s="46">
        <v>-1387970.03</v>
      </c>
      <c r="D34" s="46">
        <v>-2192171.24</v>
      </c>
      <c r="E34" s="46">
        <v>-4747780.28</v>
      </c>
      <c r="F34" s="46">
        <v>-4083695.13</v>
      </c>
      <c r="G34" s="46">
        <v>-4737561.95</v>
      </c>
      <c r="H34" s="46">
        <v>-1168450.13</v>
      </c>
      <c r="I34" s="46">
        <v>24630.14</v>
      </c>
    </row>
    <row r="35" s="39" customFormat="1" spans="1:12">
      <c r="A35" s="39" t="s">
        <v>717</v>
      </c>
      <c r="B35" s="40" t="s">
        <v>817</v>
      </c>
    </row>
    <row r="36" s="39" customFormat="1" ht="13" spans="1:12">
      <c r="A36" s="48" t="s">
        <v>819</v>
      </c>
      <c r="B36" s="40" t="s">
        <v>818</v>
      </c>
      <c r="C36" s="46">
        <v>-2253614.84</v>
      </c>
      <c r="D36" s="46">
        <v>-3550020.73</v>
      </c>
      <c r="E36" s="46">
        <v>-6928952.87</v>
      </c>
      <c r="F36" s="46">
        <v>-5167716.58</v>
      </c>
      <c r="G36" s="46">
        <v>-4737561.95</v>
      </c>
      <c r="H36" s="46">
        <v>-1168450.13</v>
      </c>
    </row>
    <row r="37" s="39" customFormat="1" spans="1:12">
      <c r="A37" s="39" t="s">
        <v>719</v>
      </c>
      <c r="B37" s="40" t="s">
        <v>817</v>
      </c>
    </row>
    <row r="38" s="39" customFormat="1" spans="1:12">
      <c r="A38" s="39" t="s">
        <v>720</v>
      </c>
      <c r="B38" s="40" t="s">
        <v>817</v>
      </c>
    </row>
    <row r="39" s="39" customFormat="1" ht="13" spans="1:12">
      <c r="A39" s="48" t="s">
        <v>820</v>
      </c>
      <c r="B39" s="49" t="s">
        <v>821</v>
      </c>
      <c r="C39" s="46">
        <v>1029767.12</v>
      </c>
      <c r="D39" s="46">
        <v>322384.66</v>
      </c>
      <c r="E39" s="46">
        <v>-7264</v>
      </c>
    </row>
    <row r="40" s="39" customFormat="1" spans="1:12">
      <c r="A40" s="39" t="s">
        <v>722</v>
      </c>
      <c r="B40" s="40" t="s">
        <v>817</v>
      </c>
      <c r="C40" s="46">
        <v>-14560863.69</v>
      </c>
      <c r="D40" s="46">
        <v>-39397333.75</v>
      </c>
      <c r="E40" s="46">
        <v>231206.7</v>
      </c>
      <c r="F40" s="46">
        <v>-22572028.67</v>
      </c>
      <c r="G40" s="46">
        <v>5166307.48</v>
      </c>
      <c r="H40" s="46">
        <v>-8664672.2</v>
      </c>
      <c r="I40" s="46">
        <v>-2168532.82</v>
      </c>
    </row>
    <row r="41" s="39" customFormat="1" spans="1:12">
      <c r="A41" s="39" t="s">
        <v>723</v>
      </c>
      <c r="B41" s="40" t="s">
        <v>817</v>
      </c>
      <c r="C41" s="46">
        <v>-13023849.42</v>
      </c>
      <c r="D41" s="46">
        <v>-10215468</v>
      </c>
      <c r="E41" s="46">
        <v>-20696202.27</v>
      </c>
      <c r="F41" s="46">
        <v>-11634693.75</v>
      </c>
      <c r="G41" s="46">
        <v>-22210680.37</v>
      </c>
      <c r="H41" s="46">
        <v>-15172795.06</v>
      </c>
      <c r="I41" s="46">
        <v>-15133041.66</v>
      </c>
    </row>
    <row r="42" s="39" customFormat="1" spans="1:12">
      <c r="A42" s="39" t="s">
        <v>724</v>
      </c>
      <c r="B42" s="40" t="s">
        <v>817</v>
      </c>
      <c r="D42" s="46">
        <v>15232.5</v>
      </c>
      <c r="E42" s="46">
        <v>1191740.13</v>
      </c>
      <c r="F42" s="46">
        <v>631145.05</v>
      </c>
      <c r="G42" s="46">
        <v>675091.23</v>
      </c>
      <c r="H42" s="46">
        <v>245980.48</v>
      </c>
      <c r="I42" s="46">
        <v>1540650.58</v>
      </c>
      <c r="J42" s="46">
        <v>11527.48</v>
      </c>
      <c r="K42" s="46">
        <v>2305268.34</v>
      </c>
      <c r="L42" s="46">
        <v>308680.9</v>
      </c>
    </row>
    <row r="43" s="39" customFormat="1" spans="1:12">
      <c r="A43" s="39" t="s">
        <v>725</v>
      </c>
      <c r="B43" s="40"/>
    </row>
    <row r="44" s="39" customFormat="1" spans="1:12">
      <c r="A44" s="39" t="s">
        <v>726</v>
      </c>
      <c r="B44" s="40"/>
    </row>
    <row r="45" s="39" customFormat="1" ht="13" spans="1:12">
      <c r="A45" s="43" t="s">
        <v>727</v>
      </c>
      <c r="B45" s="44"/>
      <c r="C45" s="45">
        <v>580795035.01</v>
      </c>
      <c r="D45" s="45">
        <v>1110527095.92</v>
      </c>
      <c r="E45" s="45">
        <v>1280089735.05</v>
      </c>
      <c r="F45" s="45">
        <v>1054241205.64</v>
      </c>
      <c r="G45" s="45">
        <v>783222728.6</v>
      </c>
      <c r="H45" s="45">
        <v>644277600.04</v>
      </c>
      <c r="I45" s="45">
        <v>505593359.13</v>
      </c>
      <c r="J45" s="45">
        <v>330988442.42</v>
      </c>
      <c r="K45" s="45">
        <v>251222778.49</v>
      </c>
      <c r="L45" s="45">
        <v>203530280.02</v>
      </c>
    </row>
    <row r="46" s="39" customFormat="1" spans="1:12">
      <c r="A46" s="39" t="s">
        <v>728</v>
      </c>
      <c r="B46" s="40" t="s">
        <v>817</v>
      </c>
      <c r="C46" s="46">
        <v>2374641.22</v>
      </c>
      <c r="D46" s="46">
        <v>2203711.21</v>
      </c>
      <c r="E46" s="46">
        <v>19235764.56</v>
      </c>
      <c r="F46" s="46">
        <v>10255086.08</v>
      </c>
      <c r="G46" s="46">
        <v>21257909.39</v>
      </c>
      <c r="H46" s="46">
        <v>14510145.58</v>
      </c>
      <c r="I46" s="46">
        <v>11433902.06</v>
      </c>
      <c r="J46" s="46">
        <v>6729888.9</v>
      </c>
      <c r="K46" s="46">
        <v>13037448.26</v>
      </c>
      <c r="L46" s="46">
        <v>7624003.95</v>
      </c>
    </row>
    <row r="47" s="39" customFormat="1" spans="1:12">
      <c r="A47" s="39" t="s">
        <v>729</v>
      </c>
      <c r="B47" s="40" t="s">
        <v>817</v>
      </c>
    </row>
    <row r="48" s="39" customFormat="1" spans="1:12">
      <c r="A48" s="39" t="s">
        <v>730</v>
      </c>
      <c r="B48" s="40" t="s">
        <v>817</v>
      </c>
      <c r="C48" s="46">
        <v>2440630.41</v>
      </c>
      <c r="D48" s="46">
        <v>3785485.04</v>
      </c>
      <c r="E48" s="46">
        <v>1859630.98</v>
      </c>
      <c r="F48" s="46">
        <v>6567274.69</v>
      </c>
      <c r="G48" s="46">
        <v>3753786.6</v>
      </c>
      <c r="H48" s="46">
        <v>6357013.71</v>
      </c>
      <c r="I48" s="46">
        <v>2404846.36</v>
      </c>
      <c r="J48" s="46">
        <v>7689487.61</v>
      </c>
      <c r="K48" s="46">
        <v>8286486.83</v>
      </c>
      <c r="L48" s="46">
        <v>8733266.51</v>
      </c>
    </row>
    <row r="49" s="39" customFormat="1" spans="1:12">
      <c r="A49" s="39" t="s">
        <v>731</v>
      </c>
      <c r="B49" s="40" t="s">
        <v>817</v>
      </c>
    </row>
    <row r="50" s="39" customFormat="1" spans="1:12">
      <c r="A50" s="39" t="s">
        <v>732</v>
      </c>
      <c r="B50" s="40"/>
    </row>
    <row r="51" s="39" customFormat="1" spans="1:12">
      <c r="A51" s="39" t="s">
        <v>733</v>
      </c>
      <c r="B51" s="40"/>
    </row>
    <row r="52" s="39" customFormat="1" ht="13" spans="1:12">
      <c r="A52" s="43" t="s">
        <v>734</v>
      </c>
      <c r="B52" s="44"/>
      <c r="C52" s="45">
        <v>580729045.82</v>
      </c>
      <c r="D52" s="45">
        <v>1108945322.09</v>
      </c>
      <c r="E52" s="45">
        <v>1297465868.63</v>
      </c>
      <c r="F52" s="45">
        <v>1057929017.03</v>
      </c>
      <c r="G52" s="45">
        <v>800726851.39</v>
      </c>
      <c r="H52" s="45">
        <v>652430731.91</v>
      </c>
      <c r="I52" s="45">
        <v>514622414.83</v>
      </c>
      <c r="J52" s="45">
        <v>330028843.71</v>
      </c>
      <c r="K52" s="45">
        <v>255973739.92</v>
      </c>
      <c r="L52" s="45">
        <v>202421017.46</v>
      </c>
    </row>
    <row r="53" s="39" customFormat="1" spans="1:12">
      <c r="A53" s="39" t="s">
        <v>735</v>
      </c>
      <c r="B53" s="40" t="s">
        <v>822</v>
      </c>
      <c r="C53" s="46">
        <v>145317535.3</v>
      </c>
      <c r="D53" s="46">
        <v>260714130.75</v>
      </c>
      <c r="E53" s="46">
        <v>289376409.75</v>
      </c>
      <c r="F53" s="46">
        <v>224010347.33</v>
      </c>
      <c r="G53" s="46">
        <v>153720765.81</v>
      </c>
      <c r="H53" s="46">
        <v>137748164.84</v>
      </c>
      <c r="I53" s="46">
        <v>101545464.56</v>
      </c>
      <c r="J53" s="46">
        <v>85553107.44</v>
      </c>
      <c r="K53" s="46">
        <v>50017036.51</v>
      </c>
      <c r="L53" s="46">
        <v>42676057.36</v>
      </c>
    </row>
    <row r="54" s="39" customFormat="1" spans="1:12">
      <c r="A54" s="39" t="s">
        <v>736</v>
      </c>
      <c r="B54" s="40"/>
    </row>
    <row r="55" s="39" customFormat="1" spans="1:12">
      <c r="A55" s="39" t="s">
        <v>737</v>
      </c>
      <c r="B55" s="40"/>
    </row>
    <row r="56" s="39" customFormat="1" ht="13" spans="1:12">
      <c r="A56" s="43" t="s">
        <v>738</v>
      </c>
      <c r="B56" s="44"/>
      <c r="C56" s="45">
        <v>435411510.52</v>
      </c>
      <c r="D56" s="45">
        <v>848231191.34</v>
      </c>
      <c r="E56" s="45">
        <v>1008089458.88</v>
      </c>
      <c r="F56" s="45">
        <v>833918669.7</v>
      </c>
      <c r="G56" s="45">
        <v>647006085.58</v>
      </c>
      <c r="H56" s="45">
        <v>514682567.07</v>
      </c>
      <c r="I56" s="45">
        <v>413076950.27</v>
      </c>
      <c r="J56" s="45">
        <v>244475736.27</v>
      </c>
      <c r="K56" s="45">
        <v>205956703.41</v>
      </c>
      <c r="L56" s="45">
        <v>159744960.1</v>
      </c>
    </row>
    <row r="57" s="39" customFormat="1" spans="1:12">
      <c r="A57" s="39" t="s">
        <v>739</v>
      </c>
      <c r="B57" s="40"/>
    </row>
    <row r="58" s="39" customFormat="1" spans="1:12">
      <c r="A58" s="39" t="s">
        <v>740</v>
      </c>
      <c r="B58" s="40"/>
    </row>
    <row r="59" s="39" customFormat="1" spans="1:12">
      <c r="A59" s="39" t="s">
        <v>741</v>
      </c>
      <c r="B59" s="40"/>
      <c r="C59" s="46">
        <v>435411510.52</v>
      </c>
      <c r="D59" s="46">
        <v>848231191.34</v>
      </c>
      <c r="E59" s="46">
        <v>1008089458.88</v>
      </c>
      <c r="F59" s="46">
        <v>833918669.7</v>
      </c>
      <c r="G59" s="46">
        <v>647006085.58</v>
      </c>
      <c r="H59" s="46">
        <v>514682567.07</v>
      </c>
      <c r="I59" s="46">
        <v>413076950.27</v>
      </c>
    </row>
    <row r="60" s="39" customFormat="1" spans="1:12">
      <c r="A60" s="39" t="s">
        <v>742</v>
      </c>
      <c r="B60" s="40"/>
    </row>
    <row r="61" s="39" customFormat="1" spans="1:12">
      <c r="A61" s="39" t="s">
        <v>743</v>
      </c>
      <c r="B61" s="40"/>
    </row>
    <row r="62" s="39" customFormat="1" spans="1:12">
      <c r="A62" s="39" t="s">
        <v>744</v>
      </c>
      <c r="B62" s="40"/>
      <c r="C62" s="46">
        <v>435411510.52</v>
      </c>
      <c r="D62" s="46">
        <v>848231191.34</v>
      </c>
      <c r="E62" s="46">
        <v>1008089458.88</v>
      </c>
      <c r="F62" s="46">
        <v>833918669.7</v>
      </c>
      <c r="G62" s="46">
        <v>647006085.58</v>
      </c>
      <c r="H62" s="46">
        <v>514682567.07</v>
      </c>
      <c r="I62" s="46">
        <v>413076950.27</v>
      </c>
      <c r="J62" s="46">
        <v>244475736.27</v>
      </c>
      <c r="K62" s="46">
        <v>205956703.41</v>
      </c>
      <c r="L62" s="46">
        <v>159744960.1</v>
      </c>
    </row>
    <row r="63" s="39" customFormat="1" spans="1:12">
      <c r="A63" s="39" t="s">
        <v>745</v>
      </c>
      <c r="B63" s="40"/>
    </row>
    <row r="64" s="39" customFormat="1" spans="1:12">
      <c r="A64" s="39" t="s">
        <v>746</v>
      </c>
      <c r="B64" s="40"/>
      <c r="C64" s="46">
        <v>425852347.57</v>
      </c>
      <c r="D64" s="46">
        <v>840787903.36</v>
      </c>
      <c r="E64" s="46">
        <v>987263773.67</v>
      </c>
      <c r="F64" s="46">
        <v>824653090.13</v>
      </c>
      <c r="G64" s="46">
        <v>629578736.56</v>
      </c>
      <c r="H64" s="46">
        <v>498660031.74</v>
      </c>
      <c r="I64" s="46">
        <v>401160366.07</v>
      </c>
      <c r="J64" s="46">
        <v>236858700</v>
      </c>
      <c r="K64" s="46">
        <v>198998200</v>
      </c>
      <c r="L64" s="46">
        <v>160345400</v>
      </c>
    </row>
    <row r="65" s="39" customFormat="1" spans="1:12">
      <c r="A65" s="39" t="s">
        <v>747</v>
      </c>
      <c r="B65" s="40"/>
    </row>
    <row r="66" s="39" customFormat="1" spans="1:12">
      <c r="A66" s="39" t="s">
        <v>748</v>
      </c>
      <c r="B66" s="40"/>
    </row>
    <row r="67" s="39" customFormat="1" ht="13" spans="1:12">
      <c r="A67" s="50" t="s">
        <v>823</v>
      </c>
      <c r="B67" s="51" t="s">
        <v>824</v>
      </c>
    </row>
    <row r="68" s="39" customFormat="1" spans="1:12">
      <c r="A68" s="39" t="s">
        <v>750</v>
      </c>
      <c r="B68" s="40"/>
    </row>
    <row r="69" s="39" customFormat="1" spans="1:12">
      <c r="A69" s="39" t="s">
        <v>751</v>
      </c>
      <c r="B69" s="40"/>
    </row>
    <row r="70" s="39" customFormat="1" ht="13" spans="1:12">
      <c r="A70" s="43" t="s">
        <v>752</v>
      </c>
      <c r="B70" s="44"/>
      <c r="C70" s="45">
        <v>435411510.52</v>
      </c>
      <c r="D70" s="45">
        <v>848231191.34</v>
      </c>
      <c r="E70" s="45">
        <v>1008089458.88</v>
      </c>
      <c r="F70" s="45">
        <v>833918669.7</v>
      </c>
      <c r="G70" s="45">
        <v>647006085.58</v>
      </c>
      <c r="H70" s="45">
        <v>514682567.07</v>
      </c>
      <c r="I70" s="45">
        <v>413076950.27</v>
      </c>
      <c r="J70" s="45">
        <v>244475736.27</v>
      </c>
      <c r="K70" s="45">
        <v>205956703.41</v>
      </c>
      <c r="L70" s="45">
        <v>159744960.1</v>
      </c>
    </row>
    <row r="71" s="39" customFormat="1" spans="1:12">
      <c r="A71" s="39" t="s">
        <v>753</v>
      </c>
      <c r="B71" s="40"/>
      <c r="C71" s="46">
        <v>435411510.52</v>
      </c>
      <c r="D71" s="46">
        <v>848231191.34</v>
      </c>
      <c r="E71" s="46">
        <v>1008089458.88</v>
      </c>
      <c r="F71" s="46">
        <v>833918669.7</v>
      </c>
      <c r="G71" s="46">
        <v>647006085.58</v>
      </c>
      <c r="H71" s="46">
        <v>514682567.07</v>
      </c>
      <c r="I71" s="46">
        <v>413076950.27</v>
      </c>
      <c r="J71" s="46">
        <v>244475736.27</v>
      </c>
      <c r="K71" s="46">
        <v>205956703.41</v>
      </c>
      <c r="L71" s="46">
        <v>159744960.1</v>
      </c>
    </row>
    <row r="72" s="39" customFormat="1" spans="1:12">
      <c r="A72" s="39" t="s">
        <v>754</v>
      </c>
      <c r="B72" s="40"/>
    </row>
    <row r="73" s="39" customFormat="1" ht="13" spans="1:12">
      <c r="A73" s="43" t="s">
        <v>755</v>
      </c>
      <c r="B73" s="44"/>
    </row>
    <row r="74" s="39" customFormat="1" spans="1:12">
      <c r="A74" s="39" t="s">
        <v>756</v>
      </c>
      <c r="B74" s="40"/>
      <c r="C74" s="46">
        <v>0.76</v>
      </c>
      <c r="D74" s="46">
        <v>1.49</v>
      </c>
      <c r="E74" s="46">
        <v>1.78</v>
      </c>
      <c r="F74" s="46">
        <v>1.49</v>
      </c>
      <c r="G74" s="46">
        <v>1.63</v>
      </c>
      <c r="H74" s="46">
        <v>1.29</v>
      </c>
      <c r="I74" s="46">
        <v>1.1</v>
      </c>
      <c r="J74" s="46">
        <v>0.68</v>
      </c>
      <c r="K74" s="46">
        <v>0.57</v>
      </c>
      <c r="L74" s="46">
        <v>0.44</v>
      </c>
    </row>
    <row r="75" s="39" customFormat="1" spans="1:12">
      <c r="A75" s="39" t="s">
        <v>757</v>
      </c>
      <c r="B75" s="40"/>
      <c r="C75" s="46">
        <v>0.76</v>
      </c>
      <c r="D75" s="46">
        <v>1.49</v>
      </c>
      <c r="E75" s="46">
        <v>1.78</v>
      </c>
      <c r="F75" s="46">
        <v>1.49</v>
      </c>
      <c r="G75" s="46">
        <v>1.62</v>
      </c>
      <c r="H75" s="46">
        <v>1.29</v>
      </c>
      <c r="I75" s="46">
        <v>1.1</v>
      </c>
      <c r="J75" s="46">
        <v>0.68</v>
      </c>
      <c r="K75" s="46">
        <v>0.57</v>
      </c>
      <c r="L75" s="46">
        <v>0.44</v>
      </c>
    </row>
    <row r="76" s="39" customFormat="1" spans="1:12">
      <c r="A76" s="39" t="s">
        <v>164</v>
      </c>
      <c r="B76" s="40"/>
      <c r="C76" s="46">
        <v>1</v>
      </c>
      <c r="D76" s="46">
        <v>1</v>
      </c>
      <c r="E76" s="46">
        <v>1</v>
      </c>
      <c r="F76" s="46">
        <v>1</v>
      </c>
      <c r="G76" s="46">
        <v>1</v>
      </c>
      <c r="H76" s="46">
        <v>1</v>
      </c>
      <c r="I76" s="46">
        <v>1</v>
      </c>
      <c r="J76" s="46">
        <v>1</v>
      </c>
      <c r="K76" s="46">
        <v>1</v>
      </c>
      <c r="L76" s="46">
        <v>1</v>
      </c>
    </row>
    <row r="77" s="39" customFormat="1" spans="1:12">
      <c r="A77" s="39" t="s">
        <v>165</v>
      </c>
      <c r="B77" s="40"/>
      <c r="C77" s="39" t="s">
        <v>825</v>
      </c>
      <c r="D77" s="39" t="s">
        <v>166</v>
      </c>
      <c r="E77" s="39" t="s">
        <v>167</v>
      </c>
      <c r="F77" s="39" t="s">
        <v>168</v>
      </c>
      <c r="G77" s="39" t="s">
        <v>169</v>
      </c>
      <c r="H77" s="39" t="s">
        <v>170</v>
      </c>
      <c r="I77" s="39" t="s">
        <v>171</v>
      </c>
      <c r="J77" s="39" t="s">
        <v>172</v>
      </c>
      <c r="K77" s="39" t="s">
        <v>173</v>
      </c>
      <c r="L77" s="39" t="s">
        <v>174</v>
      </c>
    </row>
    <row r="78" s="39" customFormat="1" spans="1:12">
      <c r="A78" s="39" t="s">
        <v>175</v>
      </c>
      <c r="B78" s="40"/>
      <c r="C78" s="39" t="s">
        <v>826</v>
      </c>
      <c r="D78" s="39" t="s">
        <v>176</v>
      </c>
      <c r="E78" s="39" t="s">
        <v>176</v>
      </c>
      <c r="F78" s="39" t="s">
        <v>176</v>
      </c>
      <c r="G78" s="39" t="s">
        <v>176</v>
      </c>
      <c r="H78" s="39" t="s">
        <v>176</v>
      </c>
      <c r="I78" s="39" t="s">
        <v>176</v>
      </c>
      <c r="J78" s="39" t="s">
        <v>177</v>
      </c>
      <c r="K78" s="39" t="s">
        <v>177</v>
      </c>
      <c r="L78" s="39" t="s">
        <v>177</v>
      </c>
    </row>
    <row r="79" s="39" customFormat="1" spans="1:12">
      <c r="A79" s="39" t="s">
        <v>178</v>
      </c>
      <c r="B79" s="40"/>
      <c r="C79" s="39" t="s">
        <v>827</v>
      </c>
      <c r="D79" s="39" t="s">
        <v>179</v>
      </c>
      <c r="E79" s="39" t="s">
        <v>179</v>
      </c>
      <c r="F79" s="39" t="s">
        <v>179</v>
      </c>
      <c r="G79" s="39" t="s">
        <v>179</v>
      </c>
      <c r="H79" s="39" t="s">
        <v>179</v>
      </c>
      <c r="I79" s="39" t="s">
        <v>179</v>
      </c>
      <c r="J79" s="39" t="s">
        <v>179</v>
      </c>
      <c r="K79" s="39" t="s">
        <v>179</v>
      </c>
      <c r="L79" s="39" t="s">
        <v>179</v>
      </c>
    </row>
    <row r="85" s="39" customFormat="1" spans="2:2">
      <c r="B85" s="40"/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"/>
  <sheetViews>
    <sheetView workbookViewId="0">
      <selection activeCell="A1" sqref="A1:E9"/>
    </sheetView>
  </sheetViews>
  <sheetFormatPr defaultColWidth="8.72727272727273" defaultRowHeight="14" outlineLevelCol="4"/>
  <cols>
    <col min="1" max="1" width="4.63636363636364" customWidth="1"/>
    <col min="2" max="2" width="24.6363636363636" style="20" customWidth="1"/>
    <col min="3" max="4" width="24.6363636363636" customWidth="1"/>
    <col min="5" max="5" width="57.0909090909091" customWidth="1"/>
  </cols>
  <sheetData>
    <row r="1" spans="1:5">
      <c r="A1" s="21" t="s">
        <v>828</v>
      </c>
      <c r="B1" s="22"/>
      <c r="C1" s="23"/>
      <c r="D1" s="23"/>
      <c r="E1" s="23"/>
    </row>
    <row r="2" spans="1:5">
      <c r="A2" s="24" t="s">
        <v>775</v>
      </c>
      <c r="B2" s="25" t="s">
        <v>829</v>
      </c>
      <c r="C2" s="24" t="s">
        <v>830</v>
      </c>
      <c r="D2" s="26" t="s">
        <v>831</v>
      </c>
      <c r="E2" s="24" t="s">
        <v>832</v>
      </c>
    </row>
    <row r="3" spans="1:5">
      <c r="A3" s="24" t="s">
        <v>833</v>
      </c>
      <c r="B3" s="25" t="s">
        <v>834</v>
      </c>
      <c r="C3" s="27"/>
      <c r="D3" s="27"/>
      <c r="E3" s="27"/>
    </row>
    <row r="4" spans="1:5">
      <c r="A4" s="27">
        <v>1</v>
      </c>
      <c r="B4" s="25" t="s">
        <v>835</v>
      </c>
      <c r="C4" s="28" t="e" cm="1">
        <f t="array" ref="C4">[3]!营业收入</f>
        <v>#NAME?</v>
      </c>
      <c r="D4" s="28"/>
      <c r="E4" s="27" t="s">
        <v>836</v>
      </c>
    </row>
    <row r="5" spans="1:5">
      <c r="A5" s="27">
        <v>2</v>
      </c>
      <c r="B5" s="25" t="s">
        <v>837</v>
      </c>
      <c r="C5" s="28" t="e" cm="1">
        <f t="array" ref="C5">[3]!NOPAT</f>
        <v>#NAME?</v>
      </c>
      <c r="D5" s="28"/>
      <c r="E5" s="27" t="s">
        <v>838</v>
      </c>
    </row>
    <row r="6" spans="1:5">
      <c r="A6" s="27">
        <v>3</v>
      </c>
      <c r="B6" s="25" t="s">
        <v>839</v>
      </c>
      <c r="C6" s="28" t="e" cm="1">
        <f t="array" ref="C6">[3]!NFE</f>
        <v>#NAME?</v>
      </c>
      <c r="D6" s="28"/>
      <c r="E6" s="27" t="s">
        <v>840</v>
      </c>
    </row>
    <row r="7" spans="1:5">
      <c r="A7" s="27">
        <v>4</v>
      </c>
      <c r="B7" s="25" t="s">
        <v>841</v>
      </c>
      <c r="C7" s="28" t="e" cm="1">
        <f t="array" ref="C7">(期初NOA+期末NOA)/2</f>
        <v>#NAME?</v>
      </c>
      <c r="D7" s="28"/>
      <c r="E7" s="24" t="s">
        <v>842</v>
      </c>
    </row>
    <row r="8" spans="1:5">
      <c r="A8" s="27">
        <v>5</v>
      </c>
      <c r="B8" s="25" t="s">
        <v>843</v>
      </c>
      <c r="C8" s="28" t="e" cm="1">
        <f t="array" ref="C8">(期初NFO+期末NFO)/2</f>
        <v>#NAME?</v>
      </c>
      <c r="D8" s="28"/>
      <c r="E8" s="27" t="s">
        <v>844</v>
      </c>
    </row>
    <row r="9" spans="1:5">
      <c r="A9" s="27">
        <v>6</v>
      </c>
      <c r="B9" s="25" t="s">
        <v>845</v>
      </c>
      <c r="C9" s="28" t="e" cm="1">
        <f t="array" ref="C9">(期初CSE+期末CSE)/2</f>
        <v>#NAME?</v>
      </c>
      <c r="D9" s="28"/>
      <c r="E9" s="27" t="s">
        <v>844</v>
      </c>
    </row>
    <row r="10" spans="1:5">
      <c r="A10" s="27"/>
      <c r="B10" s="29"/>
      <c r="C10" s="27"/>
      <c r="D10" s="27"/>
      <c r="E10" s="27"/>
    </row>
    <row r="11" spans="1:5">
      <c r="A11" s="24" t="s">
        <v>846</v>
      </c>
      <c r="B11" s="25" t="s">
        <v>847</v>
      </c>
      <c r="C11" s="27"/>
      <c r="D11" s="27"/>
      <c r="E11" s="27"/>
    </row>
    <row r="12" ht="27" spans="1:5">
      <c r="A12" s="27">
        <v>7</v>
      </c>
      <c r="B12" s="30" t="s">
        <v>848</v>
      </c>
      <c r="C12" s="28" t="e" cm="1">
        <f t="array" ref="C12">NOPAT/Avg.NOA</f>
        <v>#NAME?</v>
      </c>
      <c r="D12" s="28"/>
      <c r="E12" s="24" t="s">
        <v>849</v>
      </c>
    </row>
    <row r="13" ht="27" spans="1:5">
      <c r="A13" s="27">
        <v>8</v>
      </c>
      <c r="B13" s="30" t="s">
        <v>850</v>
      </c>
      <c r="C13" s="28" t="e" cm="1">
        <f t="array" ref="C13">NFE/Avg.NFO</f>
        <v>#NAME?</v>
      </c>
      <c r="D13" s="28"/>
      <c r="E13" s="24" t="s">
        <v>851</v>
      </c>
    </row>
    <row r="14" ht="27" spans="1:5">
      <c r="A14" s="27">
        <v>9</v>
      </c>
      <c r="B14" s="30" t="s">
        <v>852</v>
      </c>
      <c r="C14" s="28" t="e" cm="1">
        <f t="array" ref="C14">RNOA+(FLEV*(RNOA-NBC))</f>
        <v>#NAME?</v>
      </c>
      <c r="D14" s="28"/>
      <c r="E14" s="24" t="s">
        <v>853</v>
      </c>
    </row>
    <row r="15" spans="1:5">
      <c r="A15" s="27"/>
      <c r="B15" s="29"/>
      <c r="C15" s="27"/>
      <c r="D15" s="27"/>
      <c r="E15" s="27"/>
    </row>
    <row r="16" ht="27" spans="1:5">
      <c r="A16" s="24" t="s">
        <v>854</v>
      </c>
      <c r="B16" s="25" t="s">
        <v>855</v>
      </c>
      <c r="C16" s="27"/>
      <c r="D16" s="27"/>
      <c r="E16" s="27"/>
    </row>
    <row r="17" ht="27" spans="1:5">
      <c r="A17" s="27">
        <v>10</v>
      </c>
      <c r="B17" s="25" t="s">
        <v>856</v>
      </c>
      <c r="C17" s="28" t="e" cm="1">
        <f t="array" ref="C17">NOPAT/营业收入</f>
        <v>#NAME?</v>
      </c>
      <c r="D17" s="28"/>
      <c r="E17" s="24" t="s">
        <v>857</v>
      </c>
    </row>
    <row r="18" ht="27" spans="1:5">
      <c r="A18" s="27">
        <v>11</v>
      </c>
      <c r="B18" s="25" t="s">
        <v>858</v>
      </c>
      <c r="C18" s="28" t="e" cm="1">
        <f t="array" ref="C18">营业收入/Avg.NOA</f>
        <v>#NAME?</v>
      </c>
      <c r="D18" s="28"/>
      <c r="E18" s="24" t="s">
        <v>859</v>
      </c>
    </row>
    <row r="19" spans="1:5">
      <c r="A19" s="27">
        <v>12</v>
      </c>
      <c r="B19" s="31" t="s">
        <v>860</v>
      </c>
      <c r="C19" s="28" t="e" cm="1">
        <f t="array" ref="C19">PM*ATO</f>
        <v>#NAME?</v>
      </c>
      <c r="D19" s="28"/>
      <c r="E19" s="27" t="s">
        <v>861</v>
      </c>
    </row>
    <row r="22" spans="1:5">
      <c r="A22" s="21" t="s">
        <v>862</v>
      </c>
      <c r="B22" s="22"/>
      <c r="C22" s="23"/>
      <c r="D22" s="23"/>
      <c r="E22" s="23"/>
    </row>
    <row r="23" spans="1:5">
      <c r="A23" s="24" t="s">
        <v>775</v>
      </c>
      <c r="B23" s="25" t="s">
        <v>829</v>
      </c>
      <c r="C23" s="24" t="s">
        <v>830</v>
      </c>
      <c r="D23" s="24"/>
      <c r="E23" s="24" t="s">
        <v>832</v>
      </c>
    </row>
    <row r="24" spans="1:5">
      <c r="A24" s="24" t="s">
        <v>863</v>
      </c>
      <c r="B24" s="25" t="s">
        <v>864</v>
      </c>
      <c r="C24" s="27"/>
      <c r="D24" s="27"/>
      <c r="E24" s="27"/>
    </row>
    <row r="25" ht="27" spans="1:5">
      <c r="A25" s="27">
        <v>13</v>
      </c>
      <c r="B25" s="25" t="s">
        <v>865</v>
      </c>
      <c r="C25" s="28" t="e" cm="1">
        <f t="array" ref="C25">Avg.NFO/Avg.CSE</f>
        <v>#NAME?</v>
      </c>
      <c r="D25" s="28"/>
      <c r="E25" s="24" t="s">
        <v>866</v>
      </c>
    </row>
    <row r="26" ht="40.5" spans="1:5">
      <c r="A26" s="27">
        <v>14</v>
      </c>
      <c r="B26" s="25" t="s">
        <v>867</v>
      </c>
      <c r="C26" s="28" t="e" cm="1">
        <f t="array" ref="C26">Avg.OL/Avg.NOA</f>
        <v>#NAME?</v>
      </c>
      <c r="D26" s="28"/>
      <c r="E26" s="24" t="s">
        <v>868</v>
      </c>
    </row>
    <row r="27" spans="1:5">
      <c r="A27" s="24"/>
      <c r="B27" s="25"/>
      <c r="C27" s="27"/>
      <c r="D27" s="27"/>
      <c r="E27" s="27"/>
    </row>
    <row r="28" spans="1:5">
      <c r="A28" s="24" t="s">
        <v>869</v>
      </c>
      <c r="B28" s="25" t="s">
        <v>870</v>
      </c>
      <c r="C28" s="27"/>
      <c r="D28" s="27"/>
      <c r="E28" s="27"/>
    </row>
    <row r="29" spans="1:5">
      <c r="A29" s="27">
        <v>15</v>
      </c>
      <c r="B29" s="25" t="s">
        <v>871</v>
      </c>
      <c r="C29" s="28" t="e" cm="1">
        <f t="array" ref="C29">经营现金/营业收入</f>
        <v>#NAME?</v>
      </c>
      <c r="D29" s="28"/>
      <c r="E29" s="27" t="s">
        <v>872</v>
      </c>
    </row>
    <row r="30" spans="1:5">
      <c r="A30" s="27">
        <v>16</v>
      </c>
      <c r="B30" s="25" t="s">
        <v>873</v>
      </c>
      <c r="C30" s="28" t="e" cm="1">
        <f t="array" ref="C30">固定资产/OA总额</f>
        <v>#NAME?</v>
      </c>
      <c r="D30" s="28"/>
      <c r="E30" s="27" t="s">
        <v>874</v>
      </c>
    </row>
    <row r="40" spans="1:5">
      <c r="A40" s="32" t="s">
        <v>775</v>
      </c>
      <c r="B40" s="33" t="s">
        <v>875</v>
      </c>
      <c r="C40" s="32" t="s">
        <v>830</v>
      </c>
      <c r="D40" s="32"/>
      <c r="E40" s="32" t="s">
        <v>832</v>
      </c>
    </row>
    <row r="41" spans="1:5">
      <c r="A41" s="32" t="s">
        <v>818</v>
      </c>
      <c r="B41" s="33" t="s">
        <v>876</v>
      </c>
      <c r="C41" s="34"/>
      <c r="D41" s="34"/>
      <c r="E41" s="34"/>
    </row>
    <row r="42" spans="1:5">
      <c r="A42" s="34">
        <v>17</v>
      </c>
      <c r="B42" s="33" t="s">
        <v>877</v>
      </c>
      <c r="C42" s="35" t="e" cm="1">
        <f t="array" ref="C42">行2</f>
        <v>#NAME?</v>
      </c>
      <c r="D42" s="35"/>
      <c r="E42" s="34" t="s">
        <v>878</v>
      </c>
    </row>
    <row r="43" ht="27" spans="1:5">
      <c r="A43" s="34">
        <v>18</v>
      </c>
      <c r="B43" s="33" t="s">
        <v>879</v>
      </c>
      <c r="C43" s="35" t="e" cm="1">
        <f t="array" ref="C43">[4]!期初NOA</f>
        <v>#NAME?</v>
      </c>
      <c r="D43" s="35"/>
      <c r="E43" s="32" t="s">
        <v>880</v>
      </c>
    </row>
    <row r="44" spans="1:5">
      <c r="A44" s="36">
        <v>19</v>
      </c>
      <c r="B44" s="33" t="s">
        <v>881</v>
      </c>
      <c r="C44" s="37" t="s">
        <v>882</v>
      </c>
      <c r="D44" s="37"/>
      <c r="E44" s="36" t="s">
        <v>883</v>
      </c>
    </row>
    <row r="45" spans="1:5">
      <c r="A45" s="34">
        <v>20</v>
      </c>
      <c r="B45" s="33" t="s">
        <v>884</v>
      </c>
      <c r="C45" s="35" t="e" cm="1">
        <f t="array" ref="C45">期初NOA*要求回报率</f>
        <v>#NAME?</v>
      </c>
      <c r="D45" s="35"/>
      <c r="E45" s="34" t="s">
        <v>885</v>
      </c>
    </row>
    <row r="46" ht="27" spans="1:5">
      <c r="A46" s="34">
        <v>21</v>
      </c>
      <c r="B46" s="33" t="s">
        <v>876</v>
      </c>
      <c r="C46" s="35" t="e" cm="1">
        <f t="array" ref="C46">NOPAT-资本成本</f>
        <v>#NAME?</v>
      </c>
      <c r="D46" s="35"/>
      <c r="E46" s="32" t="s">
        <v>886</v>
      </c>
    </row>
    <row r="47" spans="1:5">
      <c r="A47" s="1"/>
    </row>
    <row r="50" spans="1:2">
      <c r="A50" s="38" t="s">
        <v>887</v>
      </c>
    </row>
    <row r="52" spans="1:2">
      <c r="B52" s="20" t="s">
        <v>888</v>
      </c>
    </row>
    <row r="53" spans="1:2">
      <c r="B53" s="20" t="s">
        <v>889</v>
      </c>
    </row>
    <row r="54" spans="1:2">
      <c r="B54" s="20" t="s">
        <v>890</v>
      </c>
    </row>
    <row r="55" spans="1:2">
      <c r="B55" s="20" t="s">
        <v>891</v>
      </c>
    </row>
    <row r="56" spans="1:2">
      <c r="B56" s="20" t="s">
        <v>892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2"/>
  <sheetViews>
    <sheetView topLeftCell="A67" workbookViewId="0">
      <selection activeCell="A138" sqref="A138"/>
    </sheetView>
  </sheetViews>
  <sheetFormatPr defaultColWidth="9" defaultRowHeight="12.5"/>
  <cols>
    <col min="1" max="1" width="42.4272727272727" style="15" customWidth="1"/>
    <col min="2" max="3" width="15.5727272727273" style="15" customWidth="1"/>
    <col min="4" max="4" width="16.1454545454545" style="15" customWidth="1"/>
    <col min="5" max="10" width="15.5727272727273" style="15" customWidth="1"/>
    <col min="11" max="16384" width="9" style="15"/>
  </cols>
  <sheetData>
    <row r="1" s="15" customFormat="1" ht="13" spans="1:10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</row>
    <row r="2" s="15" customFormat="1" spans="1:10">
      <c r="A2" s="15" t="s">
        <v>10</v>
      </c>
      <c r="B2" s="15" t="s">
        <v>11</v>
      </c>
      <c r="C2" s="15" t="s">
        <v>11</v>
      </c>
      <c r="D2" s="15" t="s">
        <v>11</v>
      </c>
      <c r="E2" s="15" t="s">
        <v>11</v>
      </c>
      <c r="F2" s="15" t="s">
        <v>11</v>
      </c>
      <c r="G2" s="15" t="s">
        <v>11</v>
      </c>
      <c r="H2" s="15" t="s">
        <v>893</v>
      </c>
      <c r="I2" s="15" t="s">
        <v>893</v>
      </c>
      <c r="J2" s="15" t="s">
        <v>893</v>
      </c>
    </row>
    <row r="3" s="15" customFormat="1" spans="1:10">
      <c r="A3" s="15" t="s">
        <v>12</v>
      </c>
      <c r="B3" s="15" t="s">
        <v>13</v>
      </c>
      <c r="C3" s="15" t="s">
        <v>13</v>
      </c>
      <c r="D3" s="15" t="s">
        <v>13</v>
      </c>
      <c r="E3" s="15" t="s">
        <v>13</v>
      </c>
      <c r="F3" s="15" t="s">
        <v>13</v>
      </c>
      <c r="G3" s="15" t="s">
        <v>13</v>
      </c>
      <c r="H3" s="15" t="s">
        <v>13</v>
      </c>
      <c r="I3" s="15" t="s">
        <v>13</v>
      </c>
      <c r="J3" s="15" t="s">
        <v>13</v>
      </c>
    </row>
    <row r="4" s="15" customFormat="1" spans="1:10">
      <c r="A4" s="15" t="s">
        <v>14</v>
      </c>
      <c r="B4" s="15" t="s">
        <v>15</v>
      </c>
      <c r="C4" s="15" t="s">
        <v>15</v>
      </c>
      <c r="D4" s="15" t="s">
        <v>15</v>
      </c>
      <c r="E4" s="15" t="s">
        <v>15</v>
      </c>
      <c r="F4" s="15" t="s">
        <v>15</v>
      </c>
      <c r="G4" s="15" t="s">
        <v>15</v>
      </c>
      <c r="H4" s="15" t="s">
        <v>15</v>
      </c>
      <c r="I4" s="15" t="s">
        <v>15</v>
      </c>
      <c r="J4" s="15" t="s">
        <v>15</v>
      </c>
    </row>
    <row r="5" s="15" customFormat="1" ht="13" spans="1:10">
      <c r="A5" s="17" t="s">
        <v>894</v>
      </c>
    </row>
    <row r="6" s="15" customFormat="1" spans="1:10">
      <c r="A6" s="15" t="s">
        <v>895</v>
      </c>
      <c r="B6" s="18">
        <v>4196627720.16</v>
      </c>
      <c r="C6" s="18">
        <v>4092902616.02</v>
      </c>
      <c r="D6" s="18">
        <v>4480312245.87</v>
      </c>
      <c r="E6" s="18">
        <v>3431534836.3</v>
      </c>
      <c r="F6" s="18">
        <v>2772168404.52</v>
      </c>
      <c r="G6" s="18">
        <v>2739803225.08</v>
      </c>
      <c r="H6" s="18">
        <v>2253381119.42</v>
      </c>
      <c r="I6" s="18">
        <v>1596402375.71</v>
      </c>
      <c r="J6" s="18">
        <v>1358277436.51</v>
      </c>
    </row>
    <row r="7" s="15" customFormat="1" spans="1:10">
      <c r="A7" s="15" t="s">
        <v>896</v>
      </c>
    </row>
    <row r="8" s="15" customFormat="1" spans="1:10">
      <c r="A8" s="15" t="s">
        <v>897</v>
      </c>
    </row>
    <row r="9" s="15" customFormat="1" spans="1:10">
      <c r="A9" s="15" t="s">
        <v>898</v>
      </c>
    </row>
    <row r="10" s="15" customFormat="1" spans="1:10">
      <c r="A10" s="15" t="s">
        <v>899</v>
      </c>
    </row>
    <row r="11" s="15" customFormat="1" spans="1:10">
      <c r="A11" s="15" t="s">
        <v>900</v>
      </c>
    </row>
    <row r="12" s="15" customFormat="1" spans="1:10">
      <c r="A12" s="15" t="s">
        <v>901</v>
      </c>
    </row>
    <row r="13" s="15" customFormat="1" spans="1:10">
      <c r="A13" s="15" t="s">
        <v>902</v>
      </c>
    </row>
    <row r="14" s="15" customFormat="1" spans="1:10">
      <c r="A14" s="15" t="s">
        <v>903</v>
      </c>
    </row>
    <row r="15" s="15" customFormat="1" spans="1:10">
      <c r="A15" s="15" t="s">
        <v>904</v>
      </c>
    </row>
    <row r="16" s="15" customFormat="1" spans="1:10">
      <c r="A16" s="15" t="s">
        <v>905</v>
      </c>
    </row>
    <row r="17" s="15" customFormat="1" spans="1:10">
      <c r="A17" s="15" t="s">
        <v>906</v>
      </c>
    </row>
    <row r="18" s="15" customFormat="1" spans="1:10">
      <c r="A18" s="15" t="s">
        <v>907</v>
      </c>
      <c r="B18" s="18">
        <v>13839887.49</v>
      </c>
      <c r="C18" s="18">
        <v>47653478.35</v>
      </c>
      <c r="D18" s="18">
        <v>80051944.32</v>
      </c>
      <c r="E18" s="18">
        <v>1879935.14</v>
      </c>
      <c r="H18" s="18">
        <v>24659839.54</v>
      </c>
      <c r="I18" s="18">
        <v>1686701.14</v>
      </c>
    </row>
    <row r="19" s="15" customFormat="1" spans="1:10">
      <c r="A19" s="15" t="s">
        <v>908</v>
      </c>
      <c r="B19" s="18">
        <v>127481001.57</v>
      </c>
      <c r="C19" s="18">
        <v>89795638.08</v>
      </c>
      <c r="D19" s="18">
        <v>113073683.61</v>
      </c>
      <c r="E19" s="18">
        <v>105675402.17</v>
      </c>
      <c r="F19" s="18">
        <v>55212250.62</v>
      </c>
      <c r="G19" s="18">
        <v>36604071.41</v>
      </c>
      <c r="H19" s="18">
        <v>27395796.12</v>
      </c>
      <c r="I19" s="18">
        <v>37623708.37</v>
      </c>
      <c r="J19" s="18">
        <v>30478425.48</v>
      </c>
    </row>
    <row r="20" s="15" customFormat="1" spans="1:10">
      <c r="A20" s="15" t="s">
        <v>909</v>
      </c>
    </row>
    <row r="21" s="15" customFormat="1" spans="1:10">
      <c r="A21" s="15" t="s">
        <v>910</v>
      </c>
      <c r="B21" s="18">
        <v>0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</row>
    <row r="22" s="15" customFormat="1" ht="13" spans="1:10">
      <c r="A22" s="17" t="s">
        <v>911</v>
      </c>
      <c r="B22" s="19">
        <v>4337948609.22</v>
      </c>
      <c r="C22" s="19">
        <v>4230351732.45</v>
      </c>
      <c r="D22" s="19">
        <v>4673437873.8</v>
      </c>
      <c r="E22" s="19">
        <v>3539090173.61</v>
      </c>
      <c r="F22" s="19">
        <v>2827380655.14</v>
      </c>
      <c r="G22" s="19">
        <v>2776407296.49</v>
      </c>
      <c r="H22" s="19">
        <v>2305436755.08</v>
      </c>
      <c r="I22" s="19">
        <v>1635712785.22</v>
      </c>
      <c r="J22" s="19">
        <v>1388755861.99</v>
      </c>
    </row>
    <row r="23" s="15" customFormat="1" spans="1:10">
      <c r="A23" s="15" t="s">
        <v>912</v>
      </c>
      <c r="B23" s="18">
        <v>1615916768.61</v>
      </c>
      <c r="C23" s="18">
        <v>2359252901.18</v>
      </c>
      <c r="D23" s="18">
        <v>2179517226.85</v>
      </c>
      <c r="E23" s="18">
        <v>1807310025.17</v>
      </c>
      <c r="F23" s="18">
        <v>1249833612.7</v>
      </c>
      <c r="G23" s="18">
        <v>1353581560.18</v>
      </c>
      <c r="H23" s="18">
        <v>1118924668.63</v>
      </c>
      <c r="I23" s="18">
        <v>863458126.57</v>
      </c>
      <c r="J23" s="18">
        <v>480515849.11</v>
      </c>
    </row>
    <row r="24" s="15" customFormat="1" spans="1:10">
      <c r="A24" s="15" t="s">
        <v>913</v>
      </c>
    </row>
    <row r="25" s="15" customFormat="1" spans="1:10">
      <c r="A25" s="15" t="s">
        <v>914</v>
      </c>
    </row>
    <row r="26" s="15" customFormat="1" spans="1:10">
      <c r="A26" s="15" t="s">
        <v>915</v>
      </c>
    </row>
    <row r="27" s="15" customFormat="1" spans="1:10">
      <c r="A27" s="15" t="s">
        <v>916</v>
      </c>
    </row>
    <row r="28" s="15" customFormat="1" spans="1:10">
      <c r="A28" s="15" t="s">
        <v>917</v>
      </c>
    </row>
    <row r="29" s="15" customFormat="1" spans="1:10">
      <c r="A29" s="15" t="s">
        <v>918</v>
      </c>
      <c r="B29" s="18">
        <v>876443212.18</v>
      </c>
      <c r="C29" s="18">
        <v>906341514.58</v>
      </c>
      <c r="D29" s="18">
        <v>787677870.05</v>
      </c>
      <c r="E29" s="18">
        <v>595304572.12</v>
      </c>
      <c r="F29" s="18">
        <v>478957524.47</v>
      </c>
      <c r="G29" s="18">
        <v>453936230.55</v>
      </c>
      <c r="H29" s="18">
        <v>436430063.26</v>
      </c>
      <c r="I29" s="18">
        <v>376695237.79</v>
      </c>
      <c r="J29" s="18">
        <v>253167045.64</v>
      </c>
    </row>
    <row r="30" s="15" customFormat="1" spans="1:10">
      <c r="A30" s="15" t="s">
        <v>919</v>
      </c>
      <c r="B30" s="18">
        <v>549955056.7</v>
      </c>
      <c r="C30" s="18">
        <v>520415842.77</v>
      </c>
      <c r="D30" s="18">
        <v>511427001.96</v>
      </c>
      <c r="E30" s="18">
        <v>396400932.44</v>
      </c>
      <c r="F30" s="18">
        <v>360882604.67</v>
      </c>
      <c r="G30" s="18">
        <v>328688867.14</v>
      </c>
      <c r="H30" s="18">
        <v>235365190.01</v>
      </c>
      <c r="I30" s="18">
        <v>214238314.74</v>
      </c>
      <c r="J30" s="18">
        <v>168742255.9</v>
      </c>
    </row>
    <row r="31" s="15" customFormat="1" spans="1:10">
      <c r="A31" s="15" t="s">
        <v>920</v>
      </c>
      <c r="B31" s="18">
        <v>255103196.87</v>
      </c>
      <c r="C31" s="18">
        <v>176311511.24</v>
      </c>
      <c r="D31" s="18">
        <v>171998528.17</v>
      </c>
      <c r="E31" s="18">
        <v>162995050.21</v>
      </c>
      <c r="F31" s="18">
        <v>126764309.75</v>
      </c>
      <c r="G31" s="18">
        <v>196309131.24</v>
      </c>
      <c r="H31" s="18">
        <v>187806233.32</v>
      </c>
      <c r="I31" s="18">
        <v>151376323.84</v>
      </c>
      <c r="J31" s="18">
        <v>119494622.72</v>
      </c>
    </row>
    <row r="32" s="15" customFormat="1" spans="1:10">
      <c r="A32" s="15" t="s">
        <v>921</v>
      </c>
    </row>
    <row r="33" s="15" customFormat="1" spans="1:10">
      <c r="A33" s="15" t="s">
        <v>922</v>
      </c>
      <c r="B33" s="18">
        <v>0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</row>
    <row r="34" s="15" customFormat="1" ht="13" spans="1:10">
      <c r="A34" s="17" t="s">
        <v>923</v>
      </c>
      <c r="B34" s="19">
        <v>3297418234.36</v>
      </c>
      <c r="C34" s="19">
        <v>3962321769.77</v>
      </c>
      <c r="D34" s="19">
        <v>3650620627.03</v>
      </c>
      <c r="E34" s="19">
        <v>2962010579.94</v>
      </c>
      <c r="F34" s="19">
        <v>2216438051.59</v>
      </c>
      <c r="G34" s="19">
        <v>2332515789.11</v>
      </c>
      <c r="H34" s="19">
        <v>1978526155.22</v>
      </c>
      <c r="I34" s="19">
        <v>1605768002.94</v>
      </c>
      <c r="J34" s="19">
        <v>1021919773.37</v>
      </c>
    </row>
    <row r="35" s="15" customFormat="1" spans="1:10">
      <c r="A35" s="15" t="s">
        <v>924</v>
      </c>
    </row>
    <row r="36" s="15" customFormat="1" spans="1:10">
      <c r="A36" s="15" t="s">
        <v>925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</row>
    <row r="37" s="15" customFormat="1" ht="13" spans="1:10">
      <c r="A37" s="17" t="s">
        <v>926</v>
      </c>
      <c r="B37" s="19">
        <v>1040530374.86</v>
      </c>
      <c r="C37" s="19">
        <v>268029962.68</v>
      </c>
      <c r="D37" s="19">
        <v>1022817246.77</v>
      </c>
      <c r="E37" s="19">
        <v>577079593.67</v>
      </c>
      <c r="F37" s="19">
        <v>610942603.55</v>
      </c>
      <c r="G37" s="19">
        <v>443891507.38</v>
      </c>
      <c r="H37" s="19">
        <v>326910599.86</v>
      </c>
      <c r="I37" s="19">
        <v>29944782.28</v>
      </c>
      <c r="J37" s="19">
        <v>366836088.62</v>
      </c>
    </row>
    <row r="38" s="15" customFormat="1" ht="13" spans="1:10">
      <c r="A38" s="17" t="s">
        <v>927</v>
      </c>
    </row>
    <row r="39" s="15" customFormat="1" spans="1:10">
      <c r="A39" s="15" t="s">
        <v>928</v>
      </c>
      <c r="B39" s="18">
        <v>2604.16</v>
      </c>
      <c r="C39" s="18">
        <v>90997.62</v>
      </c>
      <c r="F39" s="18">
        <v>300000000</v>
      </c>
      <c r="G39" s="18">
        <v>10000000</v>
      </c>
    </row>
    <row r="40" s="15" customFormat="1" spans="1:10">
      <c r="A40" s="15" t="s">
        <v>929</v>
      </c>
      <c r="B40" s="18">
        <v>0</v>
      </c>
      <c r="F40" s="18">
        <v>9379761.46</v>
      </c>
      <c r="G40" s="18">
        <v>24630.14</v>
      </c>
    </row>
    <row r="41" s="15" customFormat="1" spans="1:10">
      <c r="A41" s="15" t="s">
        <v>930</v>
      </c>
      <c r="B41" s="18">
        <v>385754</v>
      </c>
      <c r="C41" s="18">
        <v>10809656.56</v>
      </c>
      <c r="D41" s="18">
        <v>1029291</v>
      </c>
      <c r="E41" s="18">
        <v>3669652</v>
      </c>
      <c r="F41" s="18">
        <v>4712046</v>
      </c>
      <c r="G41" s="18">
        <v>3673642</v>
      </c>
      <c r="H41" s="18">
        <v>1618790</v>
      </c>
      <c r="I41" s="18">
        <v>1383269</v>
      </c>
      <c r="J41" s="18">
        <v>1150000</v>
      </c>
    </row>
    <row r="42" s="15" customFormat="1" spans="1:10">
      <c r="A42" s="15" t="s">
        <v>931</v>
      </c>
      <c r="B42" s="18">
        <v>0</v>
      </c>
      <c r="C42" s="18">
        <v>317197.13</v>
      </c>
    </row>
    <row r="43" s="15" customFormat="1" spans="1:10">
      <c r="A43" s="15" t="s">
        <v>932</v>
      </c>
    </row>
    <row r="44" s="15" customFormat="1" spans="1:10">
      <c r="A44" s="15" t="s">
        <v>933</v>
      </c>
      <c r="B44" s="18">
        <v>123590000</v>
      </c>
      <c r="C44" s="18">
        <v>61582312.79</v>
      </c>
      <c r="D44" s="18">
        <v>125626666.67</v>
      </c>
      <c r="I44" s="18">
        <v>35000000</v>
      </c>
    </row>
    <row r="45" s="15" customFormat="1" spans="1:10">
      <c r="A45" s="15" t="s">
        <v>934</v>
      </c>
    </row>
    <row r="46" s="15" customFormat="1" spans="1:10">
      <c r="A46" s="15" t="s">
        <v>935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</row>
    <row r="47" s="15" customFormat="1" ht="13" spans="1:10">
      <c r="A47" s="17" t="s">
        <v>936</v>
      </c>
      <c r="B47" s="19">
        <v>123978358.16</v>
      </c>
      <c r="C47" s="19">
        <v>72800164.1</v>
      </c>
      <c r="D47" s="19">
        <v>126655957.67</v>
      </c>
      <c r="E47" s="19">
        <v>3669652</v>
      </c>
      <c r="F47" s="19">
        <v>314091807.46</v>
      </c>
      <c r="G47" s="19">
        <v>13698272.14</v>
      </c>
      <c r="H47" s="19">
        <v>1618790</v>
      </c>
      <c r="I47" s="19">
        <v>36383269</v>
      </c>
      <c r="J47" s="19">
        <v>1150000</v>
      </c>
    </row>
    <row r="48" s="15" customFormat="1" spans="1:10">
      <c r="A48" s="15" t="s">
        <v>937</v>
      </c>
      <c r="B48" s="18">
        <v>190728458.92</v>
      </c>
      <c r="C48" s="18">
        <v>117710970.74</v>
      </c>
      <c r="D48" s="18">
        <v>299591455.32</v>
      </c>
      <c r="E48" s="18">
        <v>198265359.94</v>
      </c>
      <c r="F48" s="18">
        <v>107739429.04</v>
      </c>
      <c r="G48" s="18">
        <v>11639205.33</v>
      </c>
      <c r="H48" s="18">
        <v>22934251.29</v>
      </c>
      <c r="I48" s="18">
        <v>62976072.75</v>
      </c>
      <c r="J48" s="18">
        <v>41809058.25</v>
      </c>
    </row>
    <row r="49" s="15" customFormat="1" spans="1:10">
      <c r="A49" s="15" t="s">
        <v>938</v>
      </c>
      <c r="B49" s="18">
        <v>0</v>
      </c>
      <c r="G49" s="18">
        <v>310000000</v>
      </c>
    </row>
    <row r="50" s="15" customFormat="1" spans="1:10">
      <c r="A50" s="15" t="s">
        <v>939</v>
      </c>
    </row>
    <row r="51" s="15" customFormat="1" spans="1:10">
      <c r="A51" s="15" t="s">
        <v>940</v>
      </c>
    </row>
    <row r="52" s="15" customFormat="1" spans="1:10">
      <c r="A52" s="15" t="s">
        <v>941</v>
      </c>
    </row>
    <row r="53" s="15" customFormat="1" spans="1:10">
      <c r="A53" s="15" t="s">
        <v>942</v>
      </c>
      <c r="B53" s="18">
        <v>175030000</v>
      </c>
      <c r="D53" s="18">
        <v>137412562</v>
      </c>
      <c r="E53" s="18">
        <v>138834445.5</v>
      </c>
      <c r="I53" s="18">
        <v>35000000</v>
      </c>
    </row>
    <row r="54" s="15" customFormat="1" spans="1:10">
      <c r="A54" s="15" t="s">
        <v>943</v>
      </c>
    </row>
    <row r="55" s="15" customFormat="1" spans="1:10">
      <c r="A55" s="15" t="s">
        <v>944</v>
      </c>
      <c r="B55" s="18">
        <v>0</v>
      </c>
      <c r="C55" s="18">
        <v>0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</row>
    <row r="56" s="15" customFormat="1" ht="13" spans="1:10">
      <c r="A56" s="17" t="s">
        <v>945</v>
      </c>
      <c r="B56" s="19">
        <v>365758458.92</v>
      </c>
      <c r="C56" s="19">
        <v>117710970.74</v>
      </c>
      <c r="D56" s="19">
        <v>437004017.32</v>
      </c>
      <c r="E56" s="19">
        <v>337099805.44</v>
      </c>
      <c r="F56" s="19">
        <v>107739429.04</v>
      </c>
      <c r="G56" s="19">
        <v>321639205.33</v>
      </c>
      <c r="H56" s="19">
        <v>22934251.29</v>
      </c>
      <c r="I56" s="19">
        <v>97976072.75</v>
      </c>
      <c r="J56" s="19">
        <v>41809058.25</v>
      </c>
    </row>
    <row r="57" s="15" customFormat="1" spans="1:10">
      <c r="A57" s="15" t="s">
        <v>946</v>
      </c>
    </row>
    <row r="58" s="15" customFormat="1" spans="1:10">
      <c r="A58" s="15" t="s">
        <v>947</v>
      </c>
      <c r="B58" s="18">
        <v>0</v>
      </c>
      <c r="C58" s="18">
        <v>0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</row>
    <row r="59" s="15" customFormat="1" ht="13" spans="1:10">
      <c r="A59" s="17" t="s">
        <v>948</v>
      </c>
      <c r="B59" s="19">
        <v>-241780100.76</v>
      </c>
      <c r="C59" s="19">
        <v>-44910806.64</v>
      </c>
      <c r="D59" s="19">
        <v>-310348059.65</v>
      </c>
      <c r="E59" s="19">
        <v>-333430153.44</v>
      </c>
      <c r="F59" s="19">
        <v>206352378.42</v>
      </c>
      <c r="G59" s="19">
        <v>-307940933.19</v>
      </c>
      <c r="H59" s="19">
        <v>-21315461.29</v>
      </c>
      <c r="I59" s="19">
        <v>-61592803.75</v>
      </c>
      <c r="J59" s="19">
        <v>-40659058.25</v>
      </c>
    </row>
    <row r="60" s="15" customFormat="1" ht="13" spans="1:10">
      <c r="A60" s="17" t="s">
        <v>949</v>
      </c>
    </row>
    <row r="61" s="15" customFormat="1" spans="1:10">
      <c r="A61" s="15" t="s">
        <v>950</v>
      </c>
      <c r="D61" s="18">
        <v>163120818.96</v>
      </c>
      <c r="E61" s="18">
        <v>2238600</v>
      </c>
      <c r="F61" s="18">
        <v>124769970</v>
      </c>
      <c r="G61" s="18">
        <v>499262000</v>
      </c>
    </row>
    <row r="62" s="15" customFormat="1" spans="1:10">
      <c r="A62" s="15" t="s">
        <v>951</v>
      </c>
    </row>
    <row r="63" s="15" customFormat="1" spans="1:10">
      <c r="A63" s="15" t="s">
        <v>952</v>
      </c>
      <c r="B63" s="18">
        <v>470000000</v>
      </c>
      <c r="C63" s="18">
        <v>500000000</v>
      </c>
      <c r="D63" s="18">
        <v>49241666.65</v>
      </c>
    </row>
    <row r="64" s="15" customFormat="1" spans="1:10">
      <c r="A64" s="15" t="s">
        <v>953</v>
      </c>
    </row>
    <row r="65" s="15" customFormat="1" spans="1:10">
      <c r="A65" s="15" t="s">
        <v>954</v>
      </c>
      <c r="B65" s="18">
        <v>387874300.49</v>
      </c>
      <c r="C65" s="18">
        <v>299107246.56</v>
      </c>
      <c r="D65" s="18">
        <v>123123590.47</v>
      </c>
      <c r="E65" s="18">
        <v>156227399.08</v>
      </c>
      <c r="F65" s="18">
        <v>45146300.18</v>
      </c>
      <c r="G65" s="18">
        <v>77328538.51</v>
      </c>
      <c r="H65" s="18">
        <v>39907383.6</v>
      </c>
      <c r="I65" s="18">
        <v>22371210.01</v>
      </c>
      <c r="J65" s="18">
        <v>24849729.7</v>
      </c>
    </row>
    <row r="66" s="15" customFormat="1" spans="1:10">
      <c r="A66" s="15" t="s">
        <v>955</v>
      </c>
    </row>
    <row r="67" s="15" customFormat="1" spans="1:10">
      <c r="A67" s="15" t="s">
        <v>956</v>
      </c>
      <c r="B67" s="18">
        <v>0</v>
      </c>
      <c r="C67" s="18">
        <v>0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</row>
    <row r="68" s="15" customFormat="1" ht="13" spans="1:10">
      <c r="A68" s="17" t="s">
        <v>957</v>
      </c>
      <c r="B68" s="19">
        <v>857874300.49</v>
      </c>
      <c r="C68" s="19">
        <v>799107246.56</v>
      </c>
      <c r="D68" s="19">
        <v>335486076.08</v>
      </c>
      <c r="E68" s="19">
        <v>158465999.08</v>
      </c>
      <c r="F68" s="19">
        <v>169916270.18</v>
      </c>
      <c r="G68" s="19">
        <v>576590538.51</v>
      </c>
      <c r="H68" s="19">
        <v>39907383.6</v>
      </c>
      <c r="I68" s="19">
        <v>22371210.01</v>
      </c>
      <c r="J68" s="19">
        <v>24849729.7</v>
      </c>
    </row>
    <row r="69" s="15" customFormat="1" spans="1:10">
      <c r="A69" s="15" t="s">
        <v>958</v>
      </c>
      <c r="B69" s="18">
        <v>380000000</v>
      </c>
      <c r="C69" s="18">
        <v>300000000</v>
      </c>
      <c r="J69" s="18">
        <v>359251399.99</v>
      </c>
    </row>
    <row r="70" s="15" customFormat="1" spans="1:10">
      <c r="A70" s="15" t="s">
        <v>959</v>
      </c>
      <c r="B70" s="18">
        <v>997722310.77</v>
      </c>
      <c r="C70" s="18">
        <v>580816011.2</v>
      </c>
      <c r="D70" s="18">
        <v>329533200</v>
      </c>
      <c r="E70" s="18">
        <v>285918833.9</v>
      </c>
      <c r="F70" s="18">
        <v>240021000</v>
      </c>
      <c r="G70" s="18">
        <v>240021000</v>
      </c>
      <c r="I70" s="18">
        <v>98055000</v>
      </c>
      <c r="J70" s="18">
        <v>5575887.42</v>
      </c>
    </row>
    <row r="71" s="15" customFormat="1" spans="1:10">
      <c r="A71" s="15" t="s">
        <v>960</v>
      </c>
    </row>
    <row r="72" s="15" customFormat="1" spans="1:10">
      <c r="A72" s="15" t="s">
        <v>961</v>
      </c>
    </row>
    <row r="73" s="15" customFormat="1" spans="1:10">
      <c r="A73" s="15" t="s">
        <v>962</v>
      </c>
      <c r="B73" s="18">
        <v>345233538.17</v>
      </c>
      <c r="C73" s="18">
        <v>435681202.68</v>
      </c>
      <c r="D73" s="18">
        <v>291487328.73</v>
      </c>
      <c r="E73" s="18">
        <v>335675854.68</v>
      </c>
      <c r="F73" s="18">
        <v>53803744.25</v>
      </c>
      <c r="G73" s="18">
        <v>74676800.01</v>
      </c>
      <c r="H73" s="18">
        <v>45652860.09</v>
      </c>
      <c r="I73" s="18">
        <v>33688379.02</v>
      </c>
      <c r="J73" s="18">
        <v>35299937.34</v>
      </c>
    </row>
    <row r="74" s="15" customFormat="1" spans="1:10">
      <c r="A74" s="15" t="s">
        <v>963</v>
      </c>
    </row>
    <row r="75" s="15" customFormat="1" spans="1:10">
      <c r="A75" s="15" t="s">
        <v>964</v>
      </c>
    </row>
    <row r="76" s="15" customFormat="1" spans="1:10">
      <c r="A76" s="15" t="s">
        <v>965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</row>
    <row r="77" s="15" customFormat="1" ht="13" spans="1:10">
      <c r="A77" s="17" t="s">
        <v>966</v>
      </c>
      <c r="B77" s="19">
        <v>1722955848.94</v>
      </c>
      <c r="C77" s="19">
        <v>1316497213.88</v>
      </c>
      <c r="D77" s="19">
        <v>621020528.73</v>
      </c>
      <c r="E77" s="19">
        <v>621594688.58</v>
      </c>
      <c r="F77" s="19">
        <v>293824744.25</v>
      </c>
      <c r="G77" s="19">
        <v>314697800.01</v>
      </c>
      <c r="H77" s="19">
        <v>45652860.09</v>
      </c>
      <c r="I77" s="19">
        <v>131743379.02</v>
      </c>
      <c r="J77" s="19">
        <v>400127224.75</v>
      </c>
    </row>
    <row r="78" s="15" customFormat="1" spans="1:10">
      <c r="A78" s="15" t="s">
        <v>967</v>
      </c>
    </row>
    <row r="79" s="15" customFormat="1" spans="1:10">
      <c r="A79" s="15" t="s">
        <v>968</v>
      </c>
      <c r="B79" s="18">
        <v>0</v>
      </c>
      <c r="C79" s="18">
        <v>0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</row>
    <row r="80" s="15" customFormat="1" ht="13" spans="1:10">
      <c r="A80" s="17" t="s">
        <v>969</v>
      </c>
      <c r="B80" s="19">
        <v>-865081548.45</v>
      </c>
      <c r="C80" s="19">
        <v>-517389967.32</v>
      </c>
      <c r="D80" s="19">
        <v>-285534452.65</v>
      </c>
      <c r="E80" s="19">
        <v>-463128689.5</v>
      </c>
      <c r="F80" s="19">
        <v>-123908474.07</v>
      </c>
      <c r="G80" s="19">
        <v>261892738.5</v>
      </c>
      <c r="H80" s="19">
        <v>-5745476.49</v>
      </c>
      <c r="I80" s="19">
        <v>-109372169.01</v>
      </c>
      <c r="J80" s="19">
        <v>-375277495.05</v>
      </c>
    </row>
    <row r="81" s="15" customFormat="1" ht="13" spans="1:10">
      <c r="A81" s="17" t="s">
        <v>970</v>
      </c>
      <c r="B81" s="19">
        <v>54196.89</v>
      </c>
      <c r="C81" s="19">
        <v>2529778.02</v>
      </c>
      <c r="D81" s="19">
        <v>2855753.53</v>
      </c>
      <c r="E81" s="19">
        <v>-2386748.31</v>
      </c>
      <c r="F81" s="19">
        <v>-2400567.43</v>
      </c>
      <c r="G81" s="19">
        <v>1085114.24</v>
      </c>
      <c r="H81" s="19">
        <v>110034.78</v>
      </c>
      <c r="I81" s="19">
        <v>-1407509.68</v>
      </c>
      <c r="J81" s="19">
        <v>1045808.8</v>
      </c>
    </row>
    <row r="82" s="15" customFormat="1" spans="1:10">
      <c r="A82" s="15" t="s">
        <v>971</v>
      </c>
    </row>
    <row r="83" s="15" customFormat="1" spans="1:10">
      <c r="A83" s="15" t="s">
        <v>972</v>
      </c>
      <c r="B83" s="18">
        <v>0</v>
      </c>
      <c r="C83" s="18">
        <v>0</v>
      </c>
      <c r="D83" s="18">
        <v>0</v>
      </c>
      <c r="E83" s="18">
        <v>0</v>
      </c>
      <c r="F83" s="18">
        <v>0</v>
      </c>
      <c r="G83" s="18">
        <v>0</v>
      </c>
      <c r="H83" s="18">
        <v>0</v>
      </c>
      <c r="I83" s="18">
        <v>0</v>
      </c>
      <c r="J83" s="18">
        <v>0</v>
      </c>
    </row>
    <row r="84" s="15" customFormat="1" ht="13" spans="1:10">
      <c r="A84" s="17" t="s">
        <v>973</v>
      </c>
      <c r="B84" s="19">
        <v>-66277077.46</v>
      </c>
      <c r="C84" s="19">
        <v>-291741033.26</v>
      </c>
      <c r="D84" s="19">
        <v>429790488</v>
      </c>
      <c r="E84" s="19">
        <v>-221865997.58</v>
      </c>
      <c r="F84" s="19">
        <v>690985940.47</v>
      </c>
      <c r="G84" s="19">
        <v>398928426.93</v>
      </c>
      <c r="H84" s="19">
        <v>299959696.86</v>
      </c>
      <c r="I84" s="19">
        <v>-142427700.16</v>
      </c>
      <c r="J84" s="19">
        <v>-48054655.88</v>
      </c>
    </row>
    <row r="85" s="15" customFormat="1" spans="1:10">
      <c r="A85" s="15" t="s">
        <v>974</v>
      </c>
      <c r="B85" s="18">
        <v>1513016501.28</v>
      </c>
      <c r="C85" s="18">
        <v>1804757534.54</v>
      </c>
      <c r="D85" s="18">
        <v>1374967046.54</v>
      </c>
      <c r="E85" s="18">
        <v>1596833044.12</v>
      </c>
      <c r="F85" s="18">
        <v>905847103.65</v>
      </c>
      <c r="G85" s="18">
        <v>506918676.72</v>
      </c>
      <c r="H85" s="18">
        <v>206958979.86</v>
      </c>
      <c r="I85" s="18">
        <v>349386680.02</v>
      </c>
      <c r="J85" s="18">
        <v>397441335.9</v>
      </c>
    </row>
    <row r="86" s="15" customFormat="1" spans="1:10">
      <c r="A86" s="15" t="s">
        <v>975</v>
      </c>
    </row>
    <row r="87" s="15" customFormat="1" spans="1:10">
      <c r="A87" s="15" t="s">
        <v>976</v>
      </c>
      <c r="B87" s="18">
        <v>0</v>
      </c>
      <c r="C87" s="18">
        <v>0</v>
      </c>
      <c r="D87" s="18">
        <v>0</v>
      </c>
      <c r="E87" s="18">
        <v>0</v>
      </c>
      <c r="F87" s="18">
        <v>0</v>
      </c>
      <c r="G87" s="18">
        <v>0</v>
      </c>
      <c r="H87" s="18">
        <v>0</v>
      </c>
      <c r="I87" s="18">
        <v>0</v>
      </c>
      <c r="J87" s="18">
        <v>0</v>
      </c>
    </row>
    <row r="88" s="15" customFormat="1" ht="13" spans="1:10">
      <c r="A88" s="17" t="s">
        <v>977</v>
      </c>
      <c r="B88" s="19">
        <v>1446739423.82</v>
      </c>
      <c r="C88" s="19">
        <v>1513016501.28</v>
      </c>
      <c r="D88" s="19">
        <v>1804757534.54</v>
      </c>
      <c r="E88" s="19">
        <v>1374967046.54</v>
      </c>
      <c r="F88" s="19">
        <v>1596833044.12</v>
      </c>
      <c r="G88" s="19">
        <v>905847103.65</v>
      </c>
      <c r="H88" s="19">
        <v>506918676.72</v>
      </c>
      <c r="I88" s="19">
        <v>206958979.86</v>
      </c>
      <c r="J88" s="19">
        <v>349386680.02</v>
      </c>
    </row>
    <row r="89" s="15" customFormat="1" ht="13" spans="1:10">
      <c r="A89" s="17" t="s">
        <v>978</v>
      </c>
    </row>
    <row r="90" s="15" customFormat="1" spans="1:10">
      <c r="A90" s="15" t="s">
        <v>979</v>
      </c>
      <c r="B90" s="18">
        <v>848231191.34</v>
      </c>
      <c r="C90" s="18">
        <v>1008089458.88</v>
      </c>
      <c r="D90" s="18">
        <v>833918669.7</v>
      </c>
      <c r="E90" s="18">
        <v>647006085.58</v>
      </c>
      <c r="F90" s="18">
        <v>514682567.07</v>
      </c>
      <c r="G90" s="18">
        <v>413076950.27</v>
      </c>
      <c r="H90" s="18">
        <v>244475700</v>
      </c>
      <c r="I90" s="18">
        <v>205956700</v>
      </c>
      <c r="J90" s="18">
        <v>159745000</v>
      </c>
    </row>
    <row r="91" s="15" customFormat="1" spans="1:10">
      <c r="A91" s="15" t="s">
        <v>980</v>
      </c>
      <c r="B91" s="18">
        <v>10215468</v>
      </c>
      <c r="C91" s="18">
        <v>20696202.27</v>
      </c>
      <c r="D91" s="18">
        <v>11634693.75</v>
      </c>
      <c r="E91" s="18">
        <v>22210680.37</v>
      </c>
      <c r="F91" s="18">
        <v>15172795.06</v>
      </c>
      <c r="G91" s="18">
        <v>17301574.48</v>
      </c>
      <c r="H91" s="18">
        <v>15336400</v>
      </c>
      <c r="I91" s="18">
        <v>-4686200</v>
      </c>
      <c r="J91" s="18">
        <v>29608700</v>
      </c>
    </row>
    <row r="92" s="15" customFormat="1" spans="1:10">
      <c r="A92" s="15" t="s">
        <v>712</v>
      </c>
      <c r="B92" s="18">
        <v>39397333.75</v>
      </c>
      <c r="C92" s="18">
        <v>-231206.7</v>
      </c>
      <c r="D92" s="18">
        <v>22572028.67</v>
      </c>
      <c r="E92" s="18">
        <v>-5166307.48</v>
      </c>
      <c r="F92" s="18">
        <v>8664672.2</v>
      </c>
    </row>
    <row r="93" s="15" customFormat="1" spans="1:10">
      <c r="A93" s="15" t="s">
        <v>981</v>
      </c>
      <c r="B93" s="18">
        <v>203465668.37</v>
      </c>
      <c r="C93" s="18">
        <v>163925477.44</v>
      </c>
      <c r="D93" s="18">
        <v>122533802.74</v>
      </c>
      <c r="E93" s="18">
        <v>98879454.68</v>
      </c>
      <c r="F93" s="18">
        <v>93026155.34</v>
      </c>
      <c r="G93" s="18">
        <v>90328529.64</v>
      </c>
      <c r="H93" s="18">
        <v>82564000</v>
      </c>
      <c r="I93" s="18">
        <v>73486400</v>
      </c>
      <c r="J93" s="18">
        <v>69416500</v>
      </c>
    </row>
    <row r="94" s="15" customFormat="1" spans="1:10">
      <c r="A94" s="15" t="s">
        <v>982</v>
      </c>
      <c r="B94" s="18">
        <v>203465668.37</v>
      </c>
      <c r="C94" s="18">
        <v>163925477.44</v>
      </c>
      <c r="D94" s="18">
        <v>122533802.74</v>
      </c>
      <c r="E94" s="18">
        <v>98879454.68</v>
      </c>
      <c r="F94" s="18">
        <v>93026155.34</v>
      </c>
      <c r="G94" s="18">
        <v>90328529.64</v>
      </c>
      <c r="H94" s="18">
        <v>82564000</v>
      </c>
      <c r="I94" s="18">
        <v>73486400</v>
      </c>
      <c r="J94" s="18">
        <v>69416500</v>
      </c>
    </row>
    <row r="95" s="15" customFormat="1" spans="1:10">
      <c r="A95" s="15" t="s">
        <v>983</v>
      </c>
    </row>
    <row r="96" s="15" customFormat="1" spans="1:10">
      <c r="A96" s="15" t="s">
        <v>984</v>
      </c>
      <c r="B96" s="18">
        <v>9028406.76</v>
      </c>
      <c r="C96" s="18">
        <v>8352233.14</v>
      </c>
      <c r="D96" s="18">
        <v>7779373.07</v>
      </c>
      <c r="E96" s="18">
        <v>6339688.96</v>
      </c>
      <c r="F96" s="18">
        <v>6090420.04</v>
      </c>
      <c r="G96" s="18">
        <v>5390879.69</v>
      </c>
      <c r="H96" s="18">
        <v>5340800</v>
      </c>
      <c r="I96" s="18">
        <v>5341700</v>
      </c>
      <c r="J96" s="18">
        <v>5419000</v>
      </c>
    </row>
    <row r="97" s="15" customFormat="1" spans="1:10">
      <c r="A97" s="15" t="s">
        <v>985</v>
      </c>
    </row>
    <row r="98" s="15" customFormat="1" spans="1:10">
      <c r="A98" s="15" t="s">
        <v>986</v>
      </c>
    </row>
    <row r="99" s="15" customFormat="1" spans="1:10">
      <c r="A99" s="15" t="s">
        <v>987</v>
      </c>
    </row>
    <row r="100" s="15" customFormat="1" spans="1:10">
      <c r="A100" s="15" t="s">
        <v>988</v>
      </c>
    </row>
    <row r="101" s="15" customFormat="1" spans="1:10">
      <c r="A101" s="15" t="s">
        <v>989</v>
      </c>
      <c r="B101" s="18">
        <v>827139.72</v>
      </c>
      <c r="C101" s="18">
        <v>827139.72</v>
      </c>
      <c r="D101" s="18">
        <v>137329.95</v>
      </c>
      <c r="E101" s="18">
        <v>15000</v>
      </c>
    </row>
    <row r="102" s="15" customFormat="1" spans="1:10">
      <c r="A102" s="15" t="s">
        <v>990</v>
      </c>
      <c r="B102" s="18">
        <v>-15232.5</v>
      </c>
      <c r="C102" s="18">
        <v>-1191740.13</v>
      </c>
      <c r="D102" s="18">
        <v>-631145.05</v>
      </c>
      <c r="E102" s="18">
        <v>-675091.23</v>
      </c>
      <c r="F102" s="18">
        <v>-245980.48</v>
      </c>
      <c r="G102" s="18">
        <v>-1540650.58</v>
      </c>
      <c r="H102" s="18">
        <v>-11500</v>
      </c>
      <c r="I102" s="18">
        <v>-2305300</v>
      </c>
      <c r="J102" s="18">
        <v>-308700</v>
      </c>
    </row>
    <row r="103" s="15" customFormat="1" spans="1:10">
      <c r="A103" s="15" t="s">
        <v>991</v>
      </c>
      <c r="B103" s="18">
        <v>2344858.69</v>
      </c>
      <c r="C103" s="18">
        <v>-8001742.55</v>
      </c>
      <c r="D103" s="18">
        <v>4118871.24</v>
      </c>
      <c r="E103" s="18">
        <v>-671408.8</v>
      </c>
      <c r="F103" s="18">
        <v>558694.44</v>
      </c>
      <c r="G103" s="18">
        <v>1073037.78</v>
      </c>
      <c r="H103" s="18">
        <v>1377200</v>
      </c>
      <c r="I103" s="18">
        <v>3203500</v>
      </c>
      <c r="J103" s="18">
        <v>1172700</v>
      </c>
    </row>
    <row r="104" s="15" customFormat="1" spans="1:10">
      <c r="A104" s="15" t="s">
        <v>992</v>
      </c>
      <c r="B104" s="18">
        <v>-322384.66</v>
      </c>
      <c r="C104" s="18">
        <v>7264</v>
      </c>
    </row>
    <row r="105" s="15" customFormat="1" spans="1:10">
      <c r="A105" s="15" t="s">
        <v>708</v>
      </c>
      <c r="B105" s="18">
        <v>4314628</v>
      </c>
      <c r="C105" s="18">
        <v>828278.65</v>
      </c>
      <c r="D105" s="18">
        <v>-2236092.78</v>
      </c>
      <c r="E105" s="18">
        <v>873476.48</v>
      </c>
      <c r="F105" s="18">
        <v>-4561581.38</v>
      </c>
      <c r="G105" s="18">
        <v>-3428675.87</v>
      </c>
      <c r="H105" s="18">
        <v>-110000</v>
      </c>
      <c r="I105" s="18">
        <v>1407500</v>
      </c>
      <c r="J105" s="18">
        <v>4530100</v>
      </c>
    </row>
    <row r="106" s="15" customFormat="1" spans="1:10">
      <c r="A106" s="15" t="s">
        <v>993</v>
      </c>
      <c r="B106" s="18">
        <v>2192171.24</v>
      </c>
      <c r="C106" s="18">
        <v>-2181172.59</v>
      </c>
      <c r="D106" s="18">
        <v>-1084021.45</v>
      </c>
      <c r="G106" s="18">
        <v>-24630.14</v>
      </c>
    </row>
    <row r="107" s="15" customFormat="1" spans="1:10">
      <c r="A107" s="15" t="s">
        <v>994</v>
      </c>
      <c r="B107" s="18">
        <v>14073605.86</v>
      </c>
      <c r="C107" s="18">
        <v>45415035.37</v>
      </c>
      <c r="D107" s="18">
        <v>-153912.93</v>
      </c>
      <c r="E107" s="18">
        <v>-14427082.03</v>
      </c>
      <c r="F107" s="18">
        <v>-15113802.09</v>
      </c>
      <c r="G107" s="18">
        <v>-18296885.02</v>
      </c>
      <c r="H107" s="18">
        <v>-9975300</v>
      </c>
      <c r="I107" s="18">
        <v>-5377900</v>
      </c>
      <c r="J107" s="18">
        <v>-9655000</v>
      </c>
    </row>
    <row r="108" s="15" customFormat="1" spans="1:10">
      <c r="A108" s="15" t="s">
        <v>995</v>
      </c>
      <c r="B108" s="18">
        <v>3371539.72</v>
      </c>
      <c r="C108" s="18">
        <v>8354955.67</v>
      </c>
      <c r="D108" s="18">
        <v>-19842282.19</v>
      </c>
      <c r="E108" s="18">
        <v>-18174335.77</v>
      </c>
      <c r="F108" s="18">
        <v>-28418810.41</v>
      </c>
      <c r="G108" s="18">
        <v>-18296885.02</v>
      </c>
      <c r="H108" s="18">
        <v>-9975300</v>
      </c>
      <c r="I108" s="18">
        <v>-5377900</v>
      </c>
      <c r="J108" s="18">
        <v>-9655000</v>
      </c>
    </row>
    <row r="109" s="15" customFormat="1" spans="1:10">
      <c r="A109" s="15" t="s">
        <v>996</v>
      </c>
      <c r="B109" s="18">
        <v>10702066.14</v>
      </c>
      <c r="C109" s="18">
        <v>37060079.7</v>
      </c>
      <c r="D109" s="18">
        <v>19688369.26</v>
      </c>
      <c r="E109" s="18">
        <v>3747253.74</v>
      </c>
      <c r="F109" s="18">
        <v>13305008.32</v>
      </c>
    </row>
    <row r="110" s="15" customFormat="1" spans="1:10">
      <c r="A110" s="15" t="s">
        <v>997</v>
      </c>
    </row>
    <row r="111" s="15" customFormat="1" spans="1:10">
      <c r="A111" s="15" t="s">
        <v>998</v>
      </c>
      <c r="B111" s="18">
        <v>250326883.82</v>
      </c>
      <c r="C111" s="18">
        <v>-420062905.46</v>
      </c>
      <c r="D111" s="18">
        <v>-571539856.81</v>
      </c>
      <c r="E111" s="18">
        <v>-263107638.13</v>
      </c>
      <c r="F111" s="18">
        <v>-134410182.08</v>
      </c>
      <c r="G111" s="18">
        <v>-227267505.96</v>
      </c>
      <c r="H111" s="18">
        <v>-301526100</v>
      </c>
      <c r="I111" s="18">
        <v>-385365900</v>
      </c>
      <c r="J111" s="18">
        <v>-177447700</v>
      </c>
    </row>
    <row r="112" s="15" customFormat="1" spans="1:10">
      <c r="A112" s="15" t="s">
        <v>999</v>
      </c>
      <c r="B112" s="18">
        <v>-85405380.97</v>
      </c>
      <c r="C112" s="18">
        <v>-165918142.16</v>
      </c>
      <c r="D112" s="18">
        <v>-1244231399.37</v>
      </c>
      <c r="E112" s="18">
        <v>-905482916.49</v>
      </c>
      <c r="F112" s="18">
        <v>-92895770.43</v>
      </c>
      <c r="G112" s="18">
        <v>-270875310.62</v>
      </c>
      <c r="H112" s="18">
        <v>-114042600</v>
      </c>
      <c r="I112" s="18">
        <v>-140813000</v>
      </c>
      <c r="J112" s="18">
        <v>61092700</v>
      </c>
    </row>
    <row r="113" s="15" customFormat="1" spans="1:10">
      <c r="A113" s="15" t="s">
        <v>1000</v>
      </c>
      <c r="B113" s="18">
        <v>-271843974.34</v>
      </c>
      <c r="C113" s="18">
        <v>-423157608.38</v>
      </c>
      <c r="D113" s="18">
        <v>1732902526.17</v>
      </c>
      <c r="E113" s="18">
        <v>863353931.12</v>
      </c>
      <c r="F113" s="18">
        <v>199655737.74</v>
      </c>
      <c r="G113" s="18">
        <v>438154193.71</v>
      </c>
      <c r="H113" s="18">
        <v>403482000</v>
      </c>
      <c r="I113" s="18">
        <v>279097400</v>
      </c>
      <c r="J113" s="18">
        <v>223262900</v>
      </c>
    </row>
    <row r="114" s="15" customFormat="1" spans="1:10">
      <c r="A114" s="15" t="s">
        <v>1001</v>
      </c>
      <c r="B114" s="18">
        <v>13699991.78</v>
      </c>
      <c r="C114" s="18">
        <v>40633391.18</v>
      </c>
      <c r="D114" s="18">
        <v>107096379.87</v>
      </c>
      <c r="E114" s="18">
        <v>127931720.64</v>
      </c>
      <c r="F114" s="18">
        <v>20318878.12</v>
      </c>
    </row>
    <row r="115" s="15" customFormat="1" spans="1:10">
      <c r="A115" s="15" t="s">
        <v>924</v>
      </c>
    </row>
    <row r="116" s="15" customFormat="1" spans="1:10">
      <c r="A116" s="15" t="s">
        <v>925</v>
      </c>
      <c r="B116" s="18">
        <v>0</v>
      </c>
      <c r="C116" s="18">
        <v>0</v>
      </c>
      <c r="D116" s="18">
        <v>0</v>
      </c>
      <c r="E116" s="18">
        <v>0</v>
      </c>
      <c r="F116" s="18">
        <v>0</v>
      </c>
      <c r="G116" s="18">
        <v>0</v>
      </c>
      <c r="H116" s="18">
        <v>0</v>
      </c>
      <c r="I116" s="18">
        <v>-100</v>
      </c>
      <c r="J116" s="18">
        <v>-100</v>
      </c>
    </row>
    <row r="117" s="15" customFormat="1" ht="13" spans="1:10">
      <c r="A117" s="17" t="s">
        <v>926</v>
      </c>
      <c r="B117" s="19">
        <v>1040530374.86</v>
      </c>
      <c r="C117" s="19">
        <v>268029962.68</v>
      </c>
      <c r="D117" s="19">
        <v>1022817246.77</v>
      </c>
      <c r="E117" s="19">
        <v>577079593.67</v>
      </c>
      <c r="F117" s="19">
        <v>610942603.55</v>
      </c>
      <c r="G117" s="19">
        <v>443891507.38</v>
      </c>
      <c r="H117" s="19">
        <v>326910600</v>
      </c>
      <c r="I117" s="19">
        <v>29944800</v>
      </c>
      <c r="J117" s="19">
        <v>366836100</v>
      </c>
    </row>
    <row r="118" s="15" customFormat="1" spans="1:10">
      <c r="A118" s="15" t="s">
        <v>1002</v>
      </c>
    </row>
    <row r="119" s="15" customFormat="1" spans="1:10">
      <c r="A119" s="15" t="s">
        <v>1003</v>
      </c>
    </row>
    <row r="120" s="15" customFormat="1" spans="1:10">
      <c r="A120" s="15" t="s">
        <v>1004</v>
      </c>
    </row>
    <row r="121" s="15" customFormat="1" spans="1:10">
      <c r="A121" s="15" t="s">
        <v>1005</v>
      </c>
    </row>
    <row r="122" s="15" customFormat="1" spans="1:10">
      <c r="A122" s="15" t="s">
        <v>1006</v>
      </c>
      <c r="B122" s="18">
        <v>1446739423.82</v>
      </c>
      <c r="C122" s="18">
        <v>1513016501.28</v>
      </c>
      <c r="D122" s="18">
        <v>1804757534.54</v>
      </c>
      <c r="E122" s="18">
        <v>1374967046.54</v>
      </c>
      <c r="F122" s="18">
        <v>1596833044.12</v>
      </c>
      <c r="G122" s="18">
        <v>905847103.65</v>
      </c>
    </row>
    <row r="123" s="15" customFormat="1" spans="1:10">
      <c r="A123" s="15" t="s">
        <v>1007</v>
      </c>
      <c r="B123" s="18">
        <v>1513016501.28</v>
      </c>
      <c r="C123" s="18">
        <v>1804757534.54</v>
      </c>
      <c r="D123" s="18">
        <v>1374967046.54</v>
      </c>
      <c r="E123" s="18">
        <v>1596833044.12</v>
      </c>
      <c r="F123" s="18">
        <v>905847103.65</v>
      </c>
      <c r="G123" s="18">
        <v>506918676.72</v>
      </c>
    </row>
    <row r="124" s="15" customFormat="1" spans="1:10">
      <c r="A124" s="15" t="s">
        <v>1008</v>
      </c>
    </row>
    <row r="125" s="15" customFormat="1" spans="1:10">
      <c r="A125" s="15" t="s">
        <v>1009</v>
      </c>
    </row>
    <row r="126" s="15" customFormat="1" spans="1:10">
      <c r="A126" s="15" t="s">
        <v>971</v>
      </c>
    </row>
    <row r="127" s="15" customFormat="1" spans="1:10">
      <c r="A127" s="15" t="s">
        <v>972</v>
      </c>
    </row>
    <row r="128" s="15" customFormat="1" ht="13" spans="1:10">
      <c r="A128" s="17" t="s">
        <v>1010</v>
      </c>
      <c r="B128" s="19">
        <v>-66277077.46</v>
      </c>
      <c r="C128" s="19">
        <v>-291741033.26</v>
      </c>
      <c r="D128" s="19">
        <v>429790488</v>
      </c>
      <c r="E128" s="19">
        <v>-221865997.58</v>
      </c>
      <c r="F128" s="19">
        <v>690985940.47</v>
      </c>
      <c r="G128" s="19">
        <v>398928426.93</v>
      </c>
      <c r="H128" s="19">
        <v>299959696.86</v>
      </c>
      <c r="I128" s="19">
        <v>-142427700.16</v>
      </c>
      <c r="J128" s="19">
        <v>-48054655.88</v>
      </c>
    </row>
    <row r="129" s="15" customFormat="1" spans="1:10">
      <c r="A129" s="15" t="s">
        <v>164</v>
      </c>
      <c r="B129" s="18">
        <v>1</v>
      </c>
      <c r="C129" s="18">
        <v>1</v>
      </c>
      <c r="D129" s="18">
        <v>1</v>
      </c>
      <c r="E129" s="18">
        <v>1</v>
      </c>
      <c r="F129" s="18">
        <v>1</v>
      </c>
      <c r="G129" s="18">
        <v>1</v>
      </c>
      <c r="H129" s="18">
        <v>1</v>
      </c>
      <c r="I129" s="18">
        <v>1</v>
      </c>
      <c r="J129" s="18">
        <v>1</v>
      </c>
    </row>
    <row r="130" s="15" customFormat="1" spans="1:10">
      <c r="A130" s="15" t="s">
        <v>165</v>
      </c>
      <c r="B130" s="15" t="s">
        <v>166</v>
      </c>
      <c r="C130" s="15" t="s">
        <v>167</v>
      </c>
      <c r="D130" s="15" t="s">
        <v>168</v>
      </c>
      <c r="E130" s="15" t="s">
        <v>169</v>
      </c>
      <c r="F130" s="15" t="s">
        <v>170</v>
      </c>
      <c r="G130" s="15" t="s">
        <v>171</v>
      </c>
      <c r="H130" s="15" t="s">
        <v>172</v>
      </c>
      <c r="I130" s="15" t="s">
        <v>173</v>
      </c>
      <c r="J130" s="15" t="s">
        <v>174</v>
      </c>
    </row>
    <row r="131" s="15" customFormat="1" spans="1:10">
      <c r="A131" s="15" t="s">
        <v>175</v>
      </c>
      <c r="B131" s="15" t="s">
        <v>176</v>
      </c>
      <c r="C131" s="15" t="s">
        <v>176</v>
      </c>
      <c r="D131" s="15" t="s">
        <v>176</v>
      </c>
      <c r="E131" s="15" t="s">
        <v>176</v>
      </c>
      <c r="F131" s="15" t="s">
        <v>176</v>
      </c>
      <c r="G131" s="15" t="s">
        <v>176</v>
      </c>
      <c r="H131" s="15" t="s">
        <v>177</v>
      </c>
      <c r="I131" s="15" t="s">
        <v>177</v>
      </c>
      <c r="J131" s="15" t="s">
        <v>177</v>
      </c>
    </row>
    <row r="132" s="15" customFormat="1" spans="1:10">
      <c r="A132" s="15" t="s">
        <v>178</v>
      </c>
      <c r="B132" s="15" t="s">
        <v>179</v>
      </c>
      <c r="C132" s="15" t="s">
        <v>179</v>
      </c>
      <c r="D132" s="15" t="s">
        <v>179</v>
      </c>
      <c r="E132" s="15" t="s">
        <v>179</v>
      </c>
      <c r="F132" s="15" t="s">
        <v>179</v>
      </c>
      <c r="G132" s="15" t="s">
        <v>179</v>
      </c>
      <c r="H132" s="15" t="s">
        <v>179</v>
      </c>
      <c r="I132" s="15" t="s">
        <v>179</v>
      </c>
      <c r="J132" s="15" t="s">
        <v>179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"/>
  <sheetViews>
    <sheetView tabSelected="1" workbookViewId="0">
      <selection activeCell="F15" sqref="F15"/>
    </sheetView>
  </sheetViews>
  <sheetFormatPr defaultColWidth="8.72727272727273" defaultRowHeight="14" outlineLevelCol="4"/>
  <cols>
    <col min="1" max="1" width="9.54545454545454" style="1" customWidth="1"/>
    <col min="2" max="2" width="28.9090909090909" style="1" customWidth="1"/>
    <col min="3" max="3" width="21.1818181818182" style="1" customWidth="1"/>
    <col min="4" max="4" width="26.2727272727273" style="1" customWidth="1"/>
    <col min="5" max="5" width="26" style="1" customWidth="1"/>
    <col min="6" max="16384" width="8.72727272727273" style="1"/>
  </cols>
  <sheetData>
    <row r="1" s="1" customFormat="1" ht="14.75" spans="1:4">
      <c r="A1" s="3" t="s">
        <v>775</v>
      </c>
      <c r="B1" s="3" t="s">
        <v>1011</v>
      </c>
      <c r="C1" s="3" t="s">
        <v>1012</v>
      </c>
      <c r="D1" s="3" t="s">
        <v>1013</v>
      </c>
    </row>
    <row r="2" s="1" customFormat="1" ht="14.75" spans="1:4">
      <c r="A2" s="3">
        <v>1</v>
      </c>
      <c r="B2" s="3" t="s">
        <v>1014</v>
      </c>
      <c r="C2" s="4"/>
      <c r="D2" s="4"/>
    </row>
    <row r="3" s="1" customFormat="1" ht="14.75" spans="1:4">
      <c r="A3" s="4">
        <v>2</v>
      </c>
      <c r="B3" s="4" t="s">
        <v>1015</v>
      </c>
      <c r="C3" s="5">
        <v>4464089226.13</v>
      </c>
      <c r="D3" s="6" t="s">
        <v>1016</v>
      </c>
    </row>
    <row r="4" s="1" customFormat="1" ht="26" customHeight="1" spans="1:4">
      <c r="A4" s="4">
        <v>3</v>
      </c>
      <c r="B4" s="4" t="s">
        <v>1017</v>
      </c>
      <c r="C4" s="4">
        <v>0</v>
      </c>
      <c r="D4" s="6" t="s">
        <v>1018</v>
      </c>
    </row>
    <row r="5" s="2" customFormat="1" ht="14.75" hidden="1" spans="1:4">
      <c r="A5" s="3">
        <v>4</v>
      </c>
      <c r="B5" s="3" t="s">
        <v>1019</v>
      </c>
      <c r="C5" s="3">
        <f>C3+C4</f>
        <v>4464089226.13</v>
      </c>
      <c r="D5" s="3" t="s">
        <v>1020</v>
      </c>
    </row>
    <row r="6" s="1" customFormat="1" ht="14.75" hidden="1" spans="1:4">
      <c r="A6" s="4"/>
      <c r="B6" s="4"/>
      <c r="C6" s="4"/>
      <c r="D6" s="4"/>
    </row>
    <row r="7" s="1" customFormat="1" ht="14.75" hidden="1" spans="1:4">
      <c r="A7" s="3">
        <v>5</v>
      </c>
      <c r="B7" s="3" t="s">
        <v>1021</v>
      </c>
      <c r="C7" s="4"/>
      <c r="D7" s="3" t="s">
        <v>1022</v>
      </c>
    </row>
    <row r="8" s="1" customFormat="1" ht="14.75" spans="1:4">
      <c r="A8" s="4">
        <v>6</v>
      </c>
      <c r="B8" s="4" t="s">
        <v>1023</v>
      </c>
      <c r="C8" s="5">
        <v>327948076.87</v>
      </c>
      <c r="D8" s="6" t="s">
        <v>1024</v>
      </c>
    </row>
    <row r="9" s="1" customFormat="1" ht="28.75" spans="1:4">
      <c r="A9" s="4">
        <v>7</v>
      </c>
      <c r="B9" s="4" t="s">
        <v>1025</v>
      </c>
      <c r="C9" s="5">
        <v>676339.94</v>
      </c>
      <c r="D9" s="6" t="s">
        <v>1026</v>
      </c>
    </row>
    <row r="10" s="1" customFormat="1" ht="14.75" spans="1:4">
      <c r="A10" s="4">
        <v>8</v>
      </c>
      <c r="B10" s="4" t="s">
        <v>1027</v>
      </c>
      <c r="C10" s="4">
        <v>0</v>
      </c>
      <c r="D10" s="6" t="s">
        <v>1028</v>
      </c>
    </row>
    <row r="11" s="1" customFormat="1" ht="28.75" spans="1:4">
      <c r="A11" s="3">
        <v>9</v>
      </c>
      <c r="B11" s="3" t="s">
        <v>1029</v>
      </c>
      <c r="C11" s="3">
        <f>C8-C9-C10</f>
        <v>327271736.93</v>
      </c>
      <c r="D11" s="6" t="s">
        <v>1030</v>
      </c>
    </row>
    <row r="12" s="2" customFormat="1" ht="14.75" spans="1:4">
      <c r="A12" s="4"/>
      <c r="B12" s="4"/>
      <c r="C12" s="4"/>
      <c r="D12" s="4"/>
    </row>
    <row r="13" s="1" customFormat="1" ht="28.75" spans="1:4">
      <c r="A13" s="3">
        <v>10</v>
      </c>
      <c r="B13" s="3" t="s">
        <v>1031</v>
      </c>
      <c r="C13" s="4"/>
      <c r="D13" s="3" t="s">
        <v>1032</v>
      </c>
    </row>
    <row r="14" s="1" customFormat="1" ht="14.75" spans="1:4">
      <c r="A14" s="4">
        <v>11</v>
      </c>
      <c r="B14" s="4" t="s">
        <v>1033</v>
      </c>
      <c r="C14" s="5">
        <v>230582800</v>
      </c>
      <c r="D14" s="6" t="s">
        <v>1034</v>
      </c>
    </row>
    <row r="15" s="1" customFormat="1" ht="28.75" spans="1:4">
      <c r="A15" s="4">
        <v>12</v>
      </c>
      <c r="B15" s="4" t="s">
        <v>1035</v>
      </c>
      <c r="C15" s="4">
        <v>0</v>
      </c>
      <c r="D15" s="6" t="s">
        <v>1036</v>
      </c>
    </row>
    <row r="16" s="1" customFormat="1" ht="28.75" spans="1:4">
      <c r="A16" s="4">
        <v>13</v>
      </c>
      <c r="B16" s="4" t="s">
        <v>1037</v>
      </c>
      <c r="C16" s="5">
        <v>49207176.78</v>
      </c>
      <c r="D16" s="6" t="s">
        <v>1038</v>
      </c>
    </row>
    <row r="17" s="2" customFormat="1" ht="28.75" spans="1:4">
      <c r="A17" s="4">
        <v>14</v>
      </c>
      <c r="B17" s="4" t="s">
        <v>1039</v>
      </c>
      <c r="C17" s="5">
        <v>3470597.75</v>
      </c>
      <c r="D17" s="6" t="s">
        <v>1040</v>
      </c>
    </row>
    <row r="18" s="2" customFormat="1" ht="28.75" spans="1:4">
      <c r="A18" s="4">
        <v>15</v>
      </c>
      <c r="B18" s="4" t="s">
        <v>1041</v>
      </c>
      <c r="C18" s="4">
        <v>0</v>
      </c>
      <c r="D18" s="6" t="s">
        <v>1042</v>
      </c>
    </row>
    <row r="19" s="1" customFormat="1" ht="28.75" spans="1:4">
      <c r="A19" s="3">
        <v>16</v>
      </c>
      <c r="B19" s="3" t="s">
        <v>1043</v>
      </c>
      <c r="C19" s="3">
        <f>C14+C15-C16-C17-C18</f>
        <v>177905025.47</v>
      </c>
      <c r="D19" s="6" t="s">
        <v>1044</v>
      </c>
    </row>
    <row r="20" s="1" customFormat="1" ht="14.75" spans="1:4">
      <c r="A20" s="4"/>
      <c r="B20" s="4"/>
      <c r="C20" s="4"/>
      <c r="D20" s="4"/>
    </row>
    <row r="21" s="1" customFormat="1" ht="14.75" spans="1:4">
      <c r="A21" s="3">
        <v>17</v>
      </c>
      <c r="B21" s="3" t="s">
        <v>1045</v>
      </c>
      <c r="C21" s="4"/>
      <c r="D21" s="4"/>
    </row>
    <row r="22" s="1" customFormat="1" ht="14.75" spans="1:4">
      <c r="A22" s="4">
        <v>18</v>
      </c>
      <c r="B22" s="3" t="s">
        <v>1046</v>
      </c>
      <c r="C22" s="3">
        <f>C5+C11-C19</f>
        <v>4613455937.59</v>
      </c>
      <c r="D22" s="3" t="s">
        <v>1047</v>
      </c>
    </row>
    <row r="23" s="2" customFormat="1" ht="14.75" spans="1:4">
      <c r="A23" s="4">
        <v>19</v>
      </c>
      <c r="B23" s="4" t="s">
        <v>1048</v>
      </c>
      <c r="C23" s="5">
        <v>4613455937.59</v>
      </c>
      <c r="D23" s="6" t="s">
        <v>1049</v>
      </c>
    </row>
    <row r="24" s="1" customFormat="1" ht="14.75" spans="1:4">
      <c r="A24" s="3">
        <v>20</v>
      </c>
      <c r="B24" s="3" t="s">
        <v>1050</v>
      </c>
      <c r="C24" s="3">
        <f>C22-C23</f>
        <v>0</v>
      </c>
      <c r="D24" s="6" t="s">
        <v>1051</v>
      </c>
    </row>
    <row r="36" s="1" customFormat="1" spans="1:5">
      <c r="A36" s="1" t="s">
        <v>1052</v>
      </c>
    </row>
    <row r="38" s="1" customFormat="1" ht="14.75"/>
    <row r="39" s="1" customFormat="1" ht="14.75" spans="1:5">
      <c r="A39" s="3" t="s">
        <v>775</v>
      </c>
      <c r="B39" s="3" t="s">
        <v>1011</v>
      </c>
      <c r="C39" s="3" t="s">
        <v>1053</v>
      </c>
      <c r="D39" s="3" t="s">
        <v>1054</v>
      </c>
      <c r="E39" s="3" t="s">
        <v>1055</v>
      </c>
    </row>
    <row r="40" s="1" customFormat="1" ht="14.75" spans="1:5">
      <c r="A40" s="3">
        <v>21</v>
      </c>
      <c r="B40" s="3" t="s">
        <v>1056</v>
      </c>
      <c r="C40" s="4"/>
      <c r="D40" s="4"/>
      <c r="E40" s="4"/>
    </row>
    <row r="41" s="1" customFormat="1" ht="14.75" spans="1:5">
      <c r="A41" s="4">
        <v>22</v>
      </c>
      <c r="B41" s="4" t="s">
        <v>1057</v>
      </c>
      <c r="C41" s="4">
        <f>C3+C4</f>
        <v>4464089226.13</v>
      </c>
      <c r="D41" s="7" t="s">
        <v>1058</v>
      </c>
      <c r="E41" s="6" t="s">
        <v>1059</v>
      </c>
    </row>
    <row r="42" s="1" customFormat="1" ht="14.75" spans="1:5">
      <c r="A42" s="4">
        <v>23</v>
      </c>
      <c r="B42" s="4" t="s">
        <v>1060</v>
      </c>
      <c r="C42" s="4">
        <f>C23</f>
        <v>4613455937.59</v>
      </c>
      <c r="D42" s="7">
        <v>4613455938</v>
      </c>
      <c r="E42" s="6" t="s">
        <v>1059</v>
      </c>
    </row>
    <row r="43" s="1" customFormat="1" ht="14.75" spans="1:5">
      <c r="A43" s="4">
        <v>24</v>
      </c>
      <c r="B43" s="4" t="s">
        <v>1061</v>
      </c>
      <c r="C43" s="4">
        <f>C11</f>
        <v>327271736.93</v>
      </c>
      <c r="D43" s="7">
        <v>327271737</v>
      </c>
      <c r="E43" s="6" t="s">
        <v>1059</v>
      </c>
    </row>
    <row r="44" s="1" customFormat="1" ht="14.75" spans="1:5">
      <c r="A44" s="4">
        <v>25</v>
      </c>
      <c r="B44" s="4" t="s">
        <v>1062</v>
      </c>
      <c r="C44" s="4">
        <f>C19</f>
        <v>177905025.47</v>
      </c>
      <c r="D44" s="7">
        <v>177905025</v>
      </c>
      <c r="E44" s="6" t="s">
        <v>1063</v>
      </c>
    </row>
    <row r="45" s="1" customFormat="1" ht="14.75" spans="1:5">
      <c r="A45" s="4">
        <v>26</v>
      </c>
      <c r="B45" s="3" t="s">
        <v>1064</v>
      </c>
      <c r="C45" s="3">
        <f>AVERAGE(C41:C42)</f>
        <v>4538772581.86</v>
      </c>
      <c r="D45" s="8">
        <v>4538772582</v>
      </c>
      <c r="E45" s="6" t="s">
        <v>1065</v>
      </c>
    </row>
    <row r="46" s="1" customFormat="1" ht="14.75" spans="1:5">
      <c r="A46" s="4"/>
      <c r="B46" s="4"/>
      <c r="C46" s="4"/>
      <c r="D46" s="4"/>
      <c r="E46" s="4"/>
    </row>
    <row r="47" s="1" customFormat="1" ht="14.75" spans="1:5">
      <c r="A47" s="3">
        <v>27</v>
      </c>
      <c r="B47" s="3" t="s">
        <v>1066</v>
      </c>
      <c r="C47" s="4"/>
      <c r="D47" s="4"/>
      <c r="E47" s="3" t="s">
        <v>1067</v>
      </c>
    </row>
    <row r="48" s="1" customFormat="1" ht="28.75" spans="1:5">
      <c r="A48" s="4">
        <v>28</v>
      </c>
      <c r="B48" s="3" t="s">
        <v>1068</v>
      </c>
      <c r="C48" s="9">
        <f>(C14+C15)/C43</f>
        <v>0.704560687589467</v>
      </c>
      <c r="D48" s="10" t="s">
        <v>1069</v>
      </c>
      <c r="E48" s="6" t="s">
        <v>1070</v>
      </c>
    </row>
    <row r="49" s="1" customFormat="1" ht="14.75" spans="1:5">
      <c r="A49" s="4">
        <v>29</v>
      </c>
      <c r="B49" s="4" t="s">
        <v>1071</v>
      </c>
      <c r="C49" s="11">
        <f>1-C48</f>
        <v>0.295439312410533</v>
      </c>
      <c r="D49" s="11" t="s">
        <v>1072</v>
      </c>
      <c r="E49" s="6" t="s">
        <v>1073</v>
      </c>
    </row>
    <row r="50" s="1" customFormat="1" ht="42.75" spans="1:5">
      <c r="A50" s="4"/>
      <c r="B50" s="12" t="s">
        <v>1074</v>
      </c>
      <c r="C50" s="11">
        <f>(C14+C15)/(C14+C15+C3)</f>
        <v>0.0491158485015786</v>
      </c>
      <c r="D50" s="12" t="s">
        <v>1075</v>
      </c>
      <c r="E50" s="4"/>
    </row>
    <row r="51" s="1" customFormat="1" ht="14.75" spans="1:5">
      <c r="A51" s="4"/>
      <c r="B51" s="4"/>
      <c r="C51" s="4"/>
      <c r="D51" s="4"/>
      <c r="E51" s="4"/>
    </row>
    <row r="52" s="1" customFormat="1" ht="14.75" spans="1:5">
      <c r="A52" s="3">
        <v>30</v>
      </c>
      <c r="B52" s="3" t="s">
        <v>1076</v>
      </c>
      <c r="C52" s="4"/>
      <c r="D52" s="4"/>
      <c r="E52" s="3" t="s">
        <v>1077</v>
      </c>
    </row>
    <row r="53" s="1" customFormat="1" ht="14.75" spans="1:5">
      <c r="A53" s="4">
        <v>31</v>
      </c>
      <c r="B53" s="3" t="s">
        <v>1078</v>
      </c>
      <c r="C53" s="9">
        <f>C43/C45</f>
        <v>0.0721057799278155</v>
      </c>
      <c r="D53" s="9">
        <v>0.0721</v>
      </c>
      <c r="E53" s="6" t="s">
        <v>1079</v>
      </c>
    </row>
    <row r="54" s="1" customFormat="1" ht="14.75" spans="1:5">
      <c r="A54" s="4">
        <v>32</v>
      </c>
      <c r="B54" s="3" t="s">
        <v>1080</v>
      </c>
      <c r="C54" s="9">
        <f>C53*2</f>
        <v>0.144211559855631</v>
      </c>
      <c r="D54" s="9">
        <v>0.1442</v>
      </c>
      <c r="E54" s="6" t="s">
        <v>1081</v>
      </c>
    </row>
    <row r="55" s="1" customFormat="1" ht="14.75" spans="1:5">
      <c r="A55" s="4"/>
      <c r="B55" s="4"/>
      <c r="C55" s="4"/>
      <c r="D55" s="4"/>
      <c r="E55" s="4"/>
    </row>
    <row r="56" s="1" customFormat="1" ht="14.75" spans="1:5">
      <c r="A56" s="3">
        <v>33</v>
      </c>
      <c r="B56" s="3" t="s">
        <v>1082</v>
      </c>
      <c r="C56" s="4"/>
      <c r="D56" s="4"/>
      <c r="E56" s="3" t="s">
        <v>1083</v>
      </c>
    </row>
    <row r="57" s="1" customFormat="1" ht="28.75" spans="1:5">
      <c r="A57" s="4">
        <v>34</v>
      </c>
      <c r="B57" s="12" t="s">
        <v>1084</v>
      </c>
      <c r="C57" s="11">
        <f>(C42-C41)/C41</f>
        <v>0.0334596160367271</v>
      </c>
      <c r="D57" s="11" t="s">
        <v>1085</v>
      </c>
      <c r="E57" s="6" t="s">
        <v>1086</v>
      </c>
    </row>
    <row r="58" s="1" customFormat="1" ht="28.75" spans="1:5">
      <c r="A58" s="4">
        <v>35</v>
      </c>
      <c r="B58" s="13" t="s">
        <v>1087</v>
      </c>
      <c r="C58" s="9">
        <f>C43/C41</f>
        <v>0.0733120957830222</v>
      </c>
      <c r="D58" s="10" t="s">
        <v>1088</v>
      </c>
      <c r="E58" s="6" t="s">
        <v>1089</v>
      </c>
    </row>
    <row r="59" s="1" customFormat="1" ht="28.75" spans="1:5">
      <c r="A59" s="4">
        <v>36</v>
      </c>
      <c r="B59" s="13" t="s">
        <v>1090</v>
      </c>
      <c r="C59" s="9">
        <f>-C44/C41</f>
        <v>-0.0398524797462951</v>
      </c>
      <c r="D59" s="9" t="s">
        <v>1091</v>
      </c>
      <c r="E59" s="6" t="s">
        <v>1092</v>
      </c>
    </row>
    <row r="60" s="1" customFormat="1" ht="28.75" spans="1:5">
      <c r="A60" s="4">
        <v>37</v>
      </c>
      <c r="B60" s="3" t="s">
        <v>1093</v>
      </c>
      <c r="C60" s="11">
        <f>C58+C59</f>
        <v>0.0334596160367271</v>
      </c>
      <c r="D60" s="14" t="s">
        <v>1094</v>
      </c>
      <c r="E60" s="6" t="s">
        <v>1095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BS_Input</vt:lpstr>
      <vt:lpstr>BS_Analysis</vt:lpstr>
      <vt:lpstr>BS_分类</vt:lpstr>
      <vt:lpstr>IS_Input</vt:lpstr>
      <vt:lpstr>IS_Analysis</vt:lpstr>
      <vt:lpstr>IS_分类</vt:lpstr>
      <vt:lpstr>指标分析</vt:lpstr>
      <vt:lpstr>CF_Input</vt:lpstr>
      <vt:lpstr>所有者权益变动表重构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宋明璇</cp:lastModifiedBy>
  <dcterms:created xsi:type="dcterms:W3CDTF">2023-05-12T11:15:00Z</dcterms:created>
  <dcterms:modified xsi:type="dcterms:W3CDTF">2026-01-04T13:13:50Z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KSOReadingLayout">
    <vt:bool>true</vt:bool>
  </property>
  <property fmtid="{D5CDD505-2E9C-101B-9397-08002B2CF9AE}" pid="4" name="ICV">
    <vt:lpwstr>82E16EDFF1C04AD89BEBF74948A0FBF7_12</vt:lpwstr>
  </property>
  <property fmtid="{D5CDD505-2E9C-101B-9397-08002B2CF9AE}" pid="5" name="CalculationRule">
    <vt:i4>0</vt:i4>
  </property>
</Properties>
</file>